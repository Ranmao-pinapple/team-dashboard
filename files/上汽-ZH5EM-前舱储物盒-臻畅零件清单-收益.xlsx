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 Files\xwechat_files\wxid_nnlj6wbnk42922_d244\msg\file\2026-07\"/>
    </mc:Choice>
  </mc:AlternateContent>
  <bookViews>
    <workbookView windowWidth="20752" windowHeight="9675" firstSheet="1"/>
  </bookViews>
  <sheets>
    <sheet name="产品清单" sheetId="2" r:id="rId1"/>
  </sheets>
  <definedNames>
    <definedName name="_xlnm._FilterDatabase" localSheetId="0">产品清单!$A$6:$M$12</definedName>
    <definedName name="_xlnm._FilterDatabase">#REF!</definedName>
    <definedName name="_xlnm.Print_Area" localSheetId="0">产品清单!$A$1:$M$12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<sst xmlns="http://schemas.openxmlformats.org/spreadsheetml/2006/main" count="124" uniqueCount="95">
  <si>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 xml:space="preserve">                                                              </t>
  </si>
  <si>
    <t xml:space="preserve">ZH5M材料清单                                                    </t>
  </si>
  <si>
    <t>序号</t>
  </si>
  <si>
    <t>客户</t>
  </si>
  <si>
    <t>项目号</t>
  </si>
  <si>
    <t>SAP 物料编号</t>
  </si>
  <si>
    <t>零件号</t>
  </si>
  <si>
    <t>零件名称</t>
  </si>
  <si>
    <t>零件英文名称</t>
  </si>
  <si>
    <t>产品图示</t>
  </si>
  <si>
    <t>单车用量</t>
  </si>
  <si>
    <t>厚度(mm)</t>
  </si>
  <si>
    <t>产品尺寸 Size (mm)</t>
  </si>
  <si>
    <t>数据重量
 (g)</t>
  </si>
  <si>
    <t>材料</t>
  </si>
  <si>
    <t>首批试装需求数量</t>
  </si>
  <si>
    <t>外协供应商价 
不含税
（含运）</t>
  </si>
  <si>
    <t>单价（含税）</t>
  </si>
  <si>
    <t>单件净利</t>
  </si>
  <si>
    <t>单车利润</t>
  </si>
  <si>
    <t>总价格</t>
  </si>
  <si>
    <t>No.</t>
  </si>
  <si>
    <t>Customer</t>
  </si>
  <si>
    <t>Program No.</t>
  </si>
  <si>
    <t>SAP Article No.</t>
  </si>
  <si>
    <t>Part No.</t>
  </si>
  <si>
    <t>Part Name</t>
  </si>
  <si>
    <t>Part English Name</t>
  </si>
  <si>
    <t>Part Picture</t>
  </si>
  <si>
    <t>QTY /Veh.</t>
  </si>
  <si>
    <t>Thickness</t>
  </si>
  <si>
    <t>X,Y,Z</t>
  </si>
  <si>
    <t>Data Net
Weight</t>
  </si>
  <si>
    <t xml:space="preserve">Material </t>
  </si>
  <si>
    <t>price</t>
  </si>
  <si>
    <t>total</t>
  </si>
  <si>
    <t>上汽</t>
  </si>
  <si>
    <t>ZH5EM</t>
  </si>
  <si>
    <t>510000000000016964</t>
  </si>
  <si>
    <t>12268515-2</t>
  </si>
  <si>
    <t>泡棉1</t>
  </si>
  <si>
    <t>1340X8X3</t>
  </si>
  <si>
    <r>
      <rPr>
        <sz val="9"/>
        <color rgb="FF000000"/>
        <rFont val="微软雅黑"/>
        <charset val="134"/>
      </rPr>
      <t>材质：EPDM</t>
    </r>
    <r>
      <rPr>
        <sz val="9"/>
        <color rgb="FFFF0000"/>
        <rFont val="微软雅黑"/>
        <charset val="134"/>
      </rPr>
      <t>闭孔</t>
    </r>
    <r>
      <rPr>
        <sz val="9"/>
        <color rgb="FF000000"/>
        <rFont val="微软雅黑"/>
        <charset val="134"/>
      </rPr>
      <t>泡棉 /颜色：黑色 密度:115±20kg^m³/硬度Shore C 8±3/压缩应力≤43kpa（33%）；丙烯酸胶带覆胶面积：1340*8mm</t>
    </r>
  </si>
  <si>
    <t>510000000000016965</t>
  </si>
  <si>
    <t>12268515-3</t>
  </si>
  <si>
    <t>泡棉2</t>
  </si>
  <si>
    <t>260X8X3</t>
  </si>
  <si>
    <r>
      <rPr>
        <sz val="9"/>
        <color rgb="FF000000"/>
        <rFont val="微软雅黑"/>
        <charset val="134"/>
      </rPr>
      <t>材质：EPDM</t>
    </r>
    <r>
      <rPr>
        <sz val="9"/>
        <color rgb="FFFF0000"/>
        <rFont val="微软雅黑"/>
        <charset val="134"/>
      </rPr>
      <t>闭孔</t>
    </r>
    <r>
      <rPr>
        <sz val="9"/>
        <color rgb="FF000000"/>
        <rFont val="微软雅黑"/>
        <charset val="134"/>
      </rPr>
      <t>泡棉 /颜色：黑色 密度:115±20kg^m³/硬度Shore C 8±3/压缩应力≤43kpa（33%）；丙烯酸胶带覆胶面积：260*8mm</t>
    </r>
  </si>
  <si>
    <t>510000000000016966</t>
  </si>
  <si>
    <t>12268515-4</t>
  </si>
  <si>
    <t>泡棉3</t>
  </si>
  <si>
    <t>145X8X3</t>
  </si>
  <si>
    <r>
      <rPr>
        <sz val="9"/>
        <color rgb="FF000000"/>
        <rFont val="微软雅黑"/>
        <charset val="134"/>
      </rPr>
      <t>材质：EPDM</t>
    </r>
    <r>
      <rPr>
        <sz val="9"/>
        <color rgb="FFFF0000"/>
        <rFont val="微软雅黑"/>
        <charset val="134"/>
      </rPr>
      <t>闭孔</t>
    </r>
    <r>
      <rPr>
        <sz val="9"/>
        <color rgb="FF000000"/>
        <rFont val="微软雅黑"/>
        <charset val="134"/>
      </rPr>
      <t>泡棉 /颜色：黑色 密度:115±20kg^m³/硬度Shore C 8±3/压缩应力≤43kpa（33%）；丙烯酸胶带覆胶面积：145*8mm</t>
    </r>
  </si>
  <si>
    <t>510000000000016970</t>
  </si>
  <si>
    <t>12268515-8</t>
  </si>
  <si>
    <t>泡棉4</t>
  </si>
  <si>
    <t>150X8X3</t>
  </si>
  <si>
    <t>NA</t>
  </si>
  <si>
    <r>
      <rPr>
        <sz val="9"/>
        <color rgb="FF000000"/>
        <rFont val="微软雅黑"/>
        <charset val="134"/>
      </rPr>
      <t>材质：EPDM</t>
    </r>
    <r>
      <rPr>
        <sz val="9"/>
        <color rgb="FFFF0000"/>
        <rFont val="微软雅黑"/>
        <charset val="134"/>
      </rPr>
      <t>闭孔</t>
    </r>
    <r>
      <rPr>
        <sz val="9"/>
        <color rgb="FF000000"/>
        <rFont val="微软雅黑"/>
        <charset val="134"/>
      </rPr>
      <t>泡棉 /颜色：黑色 密度:115±20kg^m³/硬度Shore C 8±3/压缩应力≤43kpa（33%）；丙烯酸胶带覆胶面积：150*8mm</t>
    </r>
  </si>
  <si>
    <t>510000000000016972</t>
  </si>
  <si>
    <t>12591755-2</t>
  </si>
  <si>
    <t>堵盖泡棉</t>
  </si>
  <si>
    <t>内径53.6mm，外径58.6mm，高3mm</t>
  </si>
  <si>
    <r>
      <rPr>
        <sz val="9"/>
        <color rgb="FF000000"/>
        <rFont val="微软雅黑"/>
        <charset val="134"/>
      </rPr>
      <t>材质：EPDM</t>
    </r>
    <r>
      <rPr>
        <sz val="9"/>
        <color rgb="FFFF0000"/>
        <rFont val="微软雅黑"/>
        <charset val="134"/>
      </rPr>
      <t>闭孔</t>
    </r>
    <r>
      <rPr>
        <sz val="9"/>
        <color rgb="FF000000"/>
        <rFont val="微软雅黑"/>
        <charset val="134"/>
      </rPr>
      <t>泡棉 /颜色：黑色 密度:115±20kg^m³/硬度Shore C 8±3/压缩应力≤43kpa（33%）；丙烯酸胶带覆胶</t>
    </r>
  </si>
  <si>
    <t>510000000000016974</t>
  </si>
  <si>
    <t>12426494-2</t>
  </si>
  <si>
    <t>内径18.5mm，外径23.5mm，高2mm</t>
  </si>
  <si>
    <t>510000000000016973</t>
  </si>
  <si>
    <t>12426495-2</t>
  </si>
  <si>
    <t>右侧堵盖泡棉</t>
  </si>
  <si>
    <t>直径60*3</t>
  </si>
  <si>
    <t>510000000000017022</t>
  </si>
  <si>
    <t>12268515-10</t>
  </si>
  <si>
    <t>泡棉5</t>
  </si>
  <si>
    <t>10X8X3</t>
  </si>
  <si>
    <t>510000000000016967</t>
  </si>
  <si>
    <t>12268515-5</t>
  </si>
  <si>
    <t>蘑菇塔扣</t>
  </si>
  <si>
    <t>30X30X3</t>
  </si>
  <si>
    <r>
      <rPr>
        <sz val="9"/>
        <color rgb="FF000000"/>
        <rFont val="微软雅黑"/>
        <charset val="134"/>
      </rPr>
      <t>3M丙烯酸泡绵背胶类蘑菇搭扣/蘑菇头棒状结构,无雌雄分开（170目/inch2）
牌号：</t>
    </r>
    <r>
      <rPr>
        <sz val="9"/>
        <color rgb="FFFF0000"/>
        <rFont val="微软雅黑"/>
        <charset val="134"/>
      </rPr>
      <t>SJ3780/5408</t>
    </r>
    <r>
      <rPr>
        <sz val="9"/>
        <color rgb="FF000000"/>
        <rFont val="微软雅黑"/>
        <charset val="134"/>
      </rPr>
      <t>/尺寸：30*30*3mm；3M丙烯酸泡绵背胶/压敏胶</t>
    </r>
  </si>
  <si>
    <t>外协件
管理费成本按5%核算</t>
  </si>
  <si>
    <t>销售费用2%</t>
  </si>
  <si>
    <t>510000000000016969</t>
  </si>
  <si>
    <t>12268515-7</t>
  </si>
  <si>
    <t>25x25X3</t>
  </si>
  <si>
    <r>
      <rPr>
        <sz val="9"/>
        <color rgb="FF000000"/>
        <rFont val="微软雅黑"/>
        <charset val="134"/>
      </rPr>
      <t>3M丙烯酸泡绵背胶类蘑菇搭扣/蘑菇头棒状结构,无雌雄分开（170目/inch2）
牌号：</t>
    </r>
    <r>
      <rPr>
        <sz val="9"/>
        <color rgb="FFFF0000"/>
        <rFont val="微软雅黑"/>
        <charset val="134"/>
      </rPr>
      <t>SJ3780/5408</t>
    </r>
    <r>
      <rPr>
        <sz val="9"/>
        <color rgb="FF000000"/>
        <rFont val="微软雅黑"/>
        <charset val="134"/>
      </rPr>
      <t>/尺寸：25*25*3mm；3M丙烯酸泡绵背胶/压敏胶</t>
    </r>
  </si>
  <si>
    <t>材料采购价参考供应商</t>
  </si>
  <si>
    <t>生命周期内车型数量</t>
  </si>
  <si>
    <t>海绵件</t>
  </si>
  <si>
    <t>常州广裕橡塑科技有限公司</t>
  </si>
  <si>
    <t>焦春红</t>
  </si>
  <si>
    <t>生命周期内净利</t>
  </si>
  <si>
    <t>3M搭扣</t>
  </si>
  <si>
    <t>惠州市兰谷电子科技有限公司</t>
  </si>
  <si>
    <t>黄小姐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</si>
</sst>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18"/>
      <color rgb="FF000000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9" borderId="21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10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7" fontId="3" fillId="2" borderId="13" xfId="0" applyNumberFormat="1" applyFont="1" applyFill="1" applyBorder="1" applyAlignment="1">
      <alignment horizontal="center" vertical="center"/>
    </xf>
    <xf numFmtId="7" fontId="3" fillId="2" borderId="7" xfId="0" applyNumberFormat="1" applyFont="1" applyFill="1" applyBorder="1" applyAlignment="1">
      <alignment horizontal="center" vertical="center"/>
    </xf>
    <xf numFmtId="7" fontId="3" fillId="2" borderId="8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7" fontId="3" fillId="2" borderId="15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7" fontId="3" fillId="2" borderId="16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7" fontId="7" fillId="2" borderId="8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 quotePrefix="1">
      <alignment horizontal="center" vertical="center"/>
    </xf>
    <xf numFmtId="0" fontId="3" fillId="2" borderId="9" xfId="0" applyFont="1" applyFill="1" applyBorder="1" applyAlignment="1" quotePrefix="1">
      <alignment horizontal="center" vertical="center"/>
    </xf>
    <xf numFmtId="0" fontId="3" fillId="0" borderId="8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516022</xdr:colOff>
      <xdr:row>11</xdr:row>
      <xdr:rowOff>67906</xdr:rowOff>
    </xdr:from>
    <xdr:ext cx="233172" cy="226733"/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4940935" y="4545965"/>
          <a:ext cx="233045" cy="226695"/>
        </a:xfrm>
        <a:prstGeom prst="rect">
          <a:avLst/>
        </a:prstGeom>
      </xdr:spPr>
    </xdr:pic>
    <xdr:clientData/>
  </xdr:oneCellAnchor>
  <xdr:oneCellAnchor>
    <xdr:from>
      <xdr:col>7</xdr:col>
      <xdr:colOff>92528</xdr:colOff>
      <xdr:row>6</xdr:row>
      <xdr:rowOff>119743</xdr:rowOff>
    </xdr:from>
    <xdr:ext cx="1088572" cy="83217"/>
    <xdr:pic>
      <xdr:nvPicPr>
        <xdr:cNvPr id="9" name="图片 8"/>
        <xdr:cNvPicPr/>
      </xdr:nvPicPr>
      <xdr:blipFill>
        <a:blip r:embed="rId2"/>
        <a:stretch>
          <a:fillRect/>
        </a:stretch>
      </xdr:blipFill>
      <xdr:spPr>
        <a:xfrm>
          <a:off x="4517390" y="2312035"/>
          <a:ext cx="1089025" cy="83185"/>
        </a:xfrm>
        <a:prstGeom prst="rect">
          <a:avLst/>
        </a:prstGeom>
      </xdr:spPr>
    </xdr:pic>
    <xdr:clientData/>
  </xdr:oneCellAnchor>
  <xdr:oneCellAnchor>
    <xdr:from>
      <xdr:col>7</xdr:col>
      <xdr:colOff>163286</xdr:colOff>
      <xdr:row>7</xdr:row>
      <xdr:rowOff>97050</xdr:rowOff>
    </xdr:from>
    <xdr:ext cx="961533" cy="172284"/>
    <xdr:pic>
      <xdr:nvPicPr>
        <xdr:cNvPr id="10" name="图片 9"/>
        <xdr:cNvPicPr/>
      </xdr:nvPicPr>
      <xdr:blipFill>
        <a:blip r:embed="rId3"/>
        <a:stretch>
          <a:fillRect/>
        </a:stretch>
      </xdr:blipFill>
      <xdr:spPr>
        <a:xfrm>
          <a:off x="4588510" y="2746375"/>
          <a:ext cx="961390" cy="172720"/>
        </a:xfrm>
        <a:prstGeom prst="rect">
          <a:avLst/>
        </a:prstGeom>
      </xdr:spPr>
    </xdr:pic>
    <xdr:clientData/>
  </xdr:oneCellAnchor>
  <xdr:oneCellAnchor>
    <xdr:from>
      <xdr:col>7</xdr:col>
      <xdr:colOff>522515</xdr:colOff>
      <xdr:row>8</xdr:row>
      <xdr:rowOff>81643</xdr:rowOff>
    </xdr:from>
    <xdr:ext cx="283028" cy="193373"/>
    <xdr:pic>
      <xdr:nvPicPr>
        <xdr:cNvPr id="11" name="图片 10"/>
        <xdr:cNvPicPr/>
      </xdr:nvPicPr>
      <xdr:blipFill>
        <a:blip r:embed="rId4"/>
        <a:stretch>
          <a:fillRect/>
        </a:stretch>
      </xdr:blipFill>
      <xdr:spPr>
        <a:xfrm>
          <a:off x="4947285" y="3188335"/>
          <a:ext cx="283210" cy="193675"/>
        </a:xfrm>
        <a:prstGeom prst="rect">
          <a:avLst/>
        </a:prstGeom>
      </xdr:spPr>
    </xdr:pic>
    <xdr:clientData/>
  </xdr:oneCellAnchor>
  <xdr:oneCellAnchor>
    <xdr:from>
      <xdr:col>7</xdr:col>
      <xdr:colOff>435430</xdr:colOff>
      <xdr:row>14</xdr:row>
      <xdr:rowOff>21772</xdr:rowOff>
    </xdr:from>
    <xdr:ext cx="341061" cy="272142"/>
    <xdr:pic>
      <xdr:nvPicPr>
        <xdr:cNvPr id="12" name="图片 11"/>
        <xdr:cNvPicPr/>
      </xdr:nvPicPr>
      <xdr:blipFill>
        <a:blip r:embed="rId5"/>
        <a:stretch>
          <a:fillRect/>
        </a:stretch>
      </xdr:blipFill>
      <xdr:spPr>
        <a:xfrm>
          <a:off x="4860290" y="5871845"/>
          <a:ext cx="340995" cy="271780"/>
        </a:xfrm>
        <a:prstGeom prst="rect">
          <a:avLst/>
        </a:prstGeom>
      </xdr:spPr>
    </xdr:pic>
    <xdr:clientData/>
  </xdr:oneCellAnchor>
  <xdr:oneCellAnchor>
    <xdr:from>
      <xdr:col>7</xdr:col>
      <xdr:colOff>435430</xdr:colOff>
      <xdr:row>15</xdr:row>
      <xdr:rowOff>21772</xdr:rowOff>
    </xdr:from>
    <xdr:ext cx="341061" cy="272142"/>
    <xdr:pic>
      <xdr:nvPicPr>
        <xdr:cNvPr id="16" name="图片 11"/>
        <xdr:cNvPicPr/>
      </xdr:nvPicPr>
      <xdr:blipFill>
        <a:blip r:embed="rId5"/>
        <a:stretch>
          <a:fillRect/>
        </a:stretch>
      </xdr:blipFill>
      <xdr:spPr>
        <a:xfrm>
          <a:off x="4860290" y="6329045"/>
          <a:ext cx="340995" cy="271780"/>
        </a:xfrm>
        <a:prstGeom prst="rect">
          <a:avLst/>
        </a:prstGeom>
      </xdr:spPr>
    </xdr:pic>
    <xdr:clientData/>
  </xdr:oneCellAnchor>
  <xdr:oneCellAnchor>
    <xdr:from>
      <xdr:col>7</xdr:col>
      <xdr:colOff>218515</xdr:colOff>
      <xdr:row>9</xdr:row>
      <xdr:rowOff>110004</xdr:rowOff>
    </xdr:from>
    <xdr:ext cx="823632" cy="168367"/>
    <xdr:pic>
      <xdr:nvPicPr>
        <xdr:cNvPr id="17" name="图片 14"/>
        <xdr:cNvPicPr/>
      </xdr:nvPicPr>
      <xdr:blipFill>
        <a:blip r:embed="rId6"/>
        <a:stretch>
          <a:fillRect/>
        </a:stretch>
      </xdr:blipFill>
      <xdr:spPr>
        <a:xfrm flipV="1">
          <a:off x="4643755" y="3674110"/>
          <a:ext cx="823595" cy="168275"/>
        </a:xfrm>
        <a:prstGeom prst="rect">
          <a:avLst/>
        </a:prstGeom>
      </xdr:spPr>
    </xdr:pic>
    <xdr:clientData/>
  </xdr:oneCellAnchor>
  <xdr:oneCellAnchor>
    <xdr:from>
      <xdr:col>7</xdr:col>
      <xdr:colOff>511198</xdr:colOff>
      <xdr:row>10</xdr:row>
      <xdr:rowOff>54428</xdr:rowOff>
    </xdr:from>
    <xdr:ext cx="234474" cy="228000"/>
    <xdr:pic>
      <xdr:nvPicPr>
        <xdr:cNvPr id="19" name="图片 15"/>
        <xdr:cNvPicPr/>
      </xdr:nvPicPr>
      <xdr:blipFill>
        <a:blip r:embed="rId7"/>
        <a:stretch>
          <a:fillRect/>
        </a:stretch>
      </xdr:blipFill>
      <xdr:spPr>
        <a:xfrm>
          <a:off x="4936490" y="4075430"/>
          <a:ext cx="234315" cy="227965"/>
        </a:xfrm>
        <a:prstGeom prst="rect">
          <a:avLst/>
        </a:prstGeom>
      </xdr:spPr>
    </xdr:pic>
    <xdr:clientData/>
  </xdr:oneCellAnchor>
  <xdr:twoCellAnchor editAs="oneCell">
    <xdr:from>
      <xdr:col>7</xdr:col>
      <xdr:colOff>474345</xdr:colOff>
      <xdr:row>12</xdr:row>
      <xdr:rowOff>66040</xdr:rowOff>
    </xdr:from>
    <xdr:to>
      <xdr:col>7</xdr:col>
      <xdr:colOff>912495</xdr:colOff>
      <xdr:row>12</xdr:row>
      <xdr:rowOff>313690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99660" y="5001895"/>
          <a:ext cx="438150" cy="24765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455930</xdr:colOff>
      <xdr:row>13</xdr:row>
      <xdr:rowOff>99060</xdr:rowOff>
    </xdr:from>
    <xdr:ext cx="340995" cy="271780"/>
    <xdr:pic>
      <xdr:nvPicPr>
        <xdr:cNvPr id="6" name="图片 3"/>
        <xdr:cNvPicPr/>
      </xdr:nvPicPr>
      <xdr:blipFill>
        <a:blip r:embed="rId5"/>
        <a:stretch>
          <a:fillRect/>
        </a:stretch>
      </xdr:blipFill>
      <xdr:spPr>
        <a:xfrm>
          <a:off x="4881245" y="5492115"/>
          <a:ext cx="340995" cy="2717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X70"/>
  <sheetViews>
    <sheetView showGridLines="0" tabSelected="1" topLeftCell="K1" workbookViewId="0">
      <selection activeCell="X18" sqref="X18"/>
    </sheetView>
  </sheetViews>
  <sheetFormatPr defaultColWidth="8.640625" defaultRowHeight="50" customHeight="1"/>
  <cols>
    <col min="1" max="1" width="4.171875" style="5" customWidth="1"/>
    <col min="2" max="2" width="7" style="5" customWidth="1"/>
    <col min="3" max="3" width="6.46875" style="5" customWidth="1"/>
    <col min="4" max="4" width="16.8203125" style="5" customWidth="1"/>
    <col min="5" max="5" width="10.6328125" style="6" customWidth="1"/>
    <col min="6" max="6" width="9.3515625" style="6" customWidth="1"/>
    <col min="7" max="7" width="10.3515625" style="5" hidden="1" customWidth="1"/>
    <col min="8" max="8" width="15" style="5" customWidth="1"/>
    <col min="9" max="9" width="4.8203125" style="5" customWidth="1"/>
    <col min="10" max="10" width="7.8203125" style="5" customWidth="1"/>
    <col min="11" max="11" width="24.6171875" style="5" customWidth="1"/>
    <col min="12" max="12" width="7.171875" style="5" customWidth="1"/>
    <col min="13" max="13" width="49.28125" style="5" customWidth="1"/>
    <col min="14" max="14" width="7.6796875" style="5" customWidth="1"/>
    <col min="15" max="15" width="15.5390625" customWidth="1"/>
    <col min="16" max="16" width="11.4921875" customWidth="1"/>
    <col min="18" max="18" width="10.375"/>
    <col min="20" max="21" width="19.75" customWidth="1"/>
    <col min="22" max="22" width="11.3125"/>
    <col min="23" max="24" width="10.375"/>
  </cols>
  <sheetData>
    <row r="1" ht="15.7" customHeight="1" spans="1:2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7"/>
    </row>
    <row r="2" customHeight="1" spans="1:22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</row>
    <row r="3" ht="14.1" customHeight="1" spans="1:2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3"/>
      <c r="N3" s="12"/>
    </row>
    <row r="4" ht="13.05" customHeight="1" spans="1:2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4"/>
    </row>
    <row r="5" s="1" customFormat="1" ht="43.8" customHeight="1" spans="1:22">
      <c r="A5" s="16" t="s">
        <v>2</v>
      </c>
      <c r="B5" s="16" t="s">
        <v>3</v>
      </c>
      <c r="C5" s="16" t="s">
        <v>4</v>
      </c>
      <c r="D5" s="16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8" t="s">
        <v>10</v>
      </c>
      <c r="J5" s="18" t="s">
        <v>11</v>
      </c>
      <c r="K5" s="18" t="s">
        <v>12</v>
      </c>
      <c r="L5" s="19" t="s">
        <v>13</v>
      </c>
      <c r="M5" s="18" t="s">
        <v>14</v>
      </c>
      <c r="N5" s="20" t="s">
        <v>15</v>
      </c>
      <c r="O5" s="21" t="s">
        <v>16</v>
      </c>
      <c r="P5" s="22" t="s">
        <v>17</v>
      </c>
      <c r="Q5" s="22" t="s">
        <v>18</v>
      </c>
      <c r="R5" s="22" t="s">
        <v>19</v>
      </c>
      <c r="S5" s="23" t="s">
        <v>20</v>
      </c>
    </row>
    <row r="6" s="2" customFormat="1" ht="36" customHeight="1" spans="1:22">
      <c r="A6" s="24" t="s">
        <v>21</v>
      </c>
      <c r="B6" s="24" t="s">
        <v>22</v>
      </c>
      <c r="C6" s="24" t="s">
        <v>23</v>
      </c>
      <c r="D6" s="24" t="s">
        <v>24</v>
      </c>
      <c r="E6" s="25" t="s">
        <v>25</v>
      </c>
      <c r="F6" s="25" t="s">
        <v>26</v>
      </c>
      <c r="G6" s="25" t="s">
        <v>27</v>
      </c>
      <c r="H6" s="25" t="s">
        <v>28</v>
      </c>
      <c r="I6" s="26" t="s">
        <v>29</v>
      </c>
      <c r="J6" s="26" t="s">
        <v>30</v>
      </c>
      <c r="K6" s="26" t="s">
        <v>31</v>
      </c>
      <c r="L6" s="26" t="s">
        <v>32</v>
      </c>
      <c r="M6" s="26" t="s">
        <v>33</v>
      </c>
      <c r="N6" s="27"/>
      <c r="O6" s="28"/>
      <c r="P6" s="29" t="s">
        <v>34</v>
      </c>
      <c r="Q6" s="29"/>
      <c r="R6" s="29"/>
      <c r="S6" s="30" t="s">
        <v>35</v>
      </c>
    </row>
    <row r="7" s="3" customFormat="1" ht="36" customHeight="1" spans="1:22">
      <c r="A7" s="31">
        <v>1</v>
      </c>
      <c r="B7" s="32" t="s">
        <v>36</v>
      </c>
      <c r="C7" s="32" t="s">
        <v>37</v>
      </c>
      <c r="D7" s="58" t="s">
        <v>38</v>
      </c>
      <c r="E7" s="33" t="s">
        <v>39</v>
      </c>
      <c r="F7" s="34" t="s">
        <v>40</v>
      </c>
      <c r="G7" s="32"/>
      <c r="H7" s="32"/>
      <c r="I7" s="34">
        <v>1</v>
      </c>
      <c r="J7" s="32"/>
      <c r="K7" s="35" t="s">
        <v>41</v>
      </c>
      <c r="L7" s="32">
        <v>1</v>
      </c>
      <c r="M7" s="34" t="s">
        <v>42</v>
      </c>
      <c r="N7" s="36">
        <v>120</v>
      </c>
      <c r="O7" s="37">
        <v>0.54</v>
      </c>
      <c r="P7" s="37">
        <v>0.7</v>
      </c>
      <c r="Q7" s="38">
        <f>P7/1.13-O7*(1+0.05+0.02)</f>
        <v>0.0416690265486724</v>
      </c>
      <c r="R7" s="38">
        <f>Q7*I7</f>
        <v>0.0416690265486724</v>
      </c>
      <c r="S7" s="39">
        <f>P7*N7</f>
        <v>84</v>
      </c>
    </row>
    <row r="8" s="3" customFormat="1" ht="36" customHeight="1" spans="1:22">
      <c r="A8" s="31">
        <v>2</v>
      </c>
      <c r="B8" s="32" t="s">
        <v>36</v>
      </c>
      <c r="C8" s="32" t="s">
        <v>37</v>
      </c>
      <c r="D8" s="58" t="s">
        <v>43</v>
      </c>
      <c r="E8" s="33" t="s">
        <v>44</v>
      </c>
      <c r="F8" s="34" t="s">
        <v>45</v>
      </c>
      <c r="G8" s="31"/>
      <c r="H8" s="31"/>
      <c r="I8" s="40">
        <v>2</v>
      </c>
      <c r="K8" s="35" t="s">
        <v>46</v>
      </c>
      <c r="L8" s="31">
        <v>2</v>
      </c>
      <c r="M8" s="34" t="s">
        <v>47</v>
      </c>
      <c r="N8" s="41">
        <v>240</v>
      </c>
      <c r="O8" s="42">
        <v>0.12</v>
      </c>
      <c r="P8" s="37">
        <v>0.18</v>
      </c>
      <c r="Q8" s="38">
        <f t="shared" ref="Q8:Q16" si="0">P8/1.13-O8*(1+0.05+0.02)</f>
        <v>0.0308920353982301</v>
      </c>
      <c r="R8" s="38">
        <f>Q8*I8</f>
        <v>0.0617840707964601</v>
      </c>
      <c r="S8" s="39">
        <f>P8*N8</f>
        <v>43.2</v>
      </c>
    </row>
    <row r="9" s="3" customFormat="1" ht="36" customHeight="1" spans="1:22">
      <c r="A9" s="31">
        <v>3</v>
      </c>
      <c r="B9" s="32" t="s">
        <v>36</v>
      </c>
      <c r="C9" s="32" t="s">
        <v>37</v>
      </c>
      <c r="D9" s="58" t="s">
        <v>48</v>
      </c>
      <c r="E9" s="33" t="s">
        <v>49</v>
      </c>
      <c r="F9" s="34" t="s">
        <v>50</v>
      </c>
      <c r="G9" s="31"/>
      <c r="H9" s="31"/>
      <c r="I9" s="40">
        <v>1</v>
      </c>
      <c r="J9" s="31"/>
      <c r="K9" s="35" t="s">
        <v>51</v>
      </c>
      <c r="L9" s="31">
        <v>1</v>
      </c>
      <c r="M9" s="34" t="s">
        <v>52</v>
      </c>
      <c r="N9" s="41">
        <v>120</v>
      </c>
      <c r="O9" s="42">
        <v>0.08</v>
      </c>
      <c r="P9" s="37">
        <v>0.15</v>
      </c>
      <c r="Q9" s="38">
        <f t="shared" si="0"/>
        <v>0.0471433628318584</v>
      </c>
      <c r="R9" s="38">
        <f t="shared" ref="R9:R16" si="1">Q9*I9</f>
        <v>0.0471433628318584</v>
      </c>
      <c r="S9" s="39">
        <f>P9*N9</f>
        <v>18</v>
      </c>
    </row>
    <row r="10" s="3" customFormat="1" ht="36" customHeight="1" spans="1:22">
      <c r="A10" s="31">
        <v>6</v>
      </c>
      <c r="B10" s="32" t="s">
        <v>36</v>
      </c>
      <c r="C10" s="32" t="s">
        <v>37</v>
      </c>
      <c r="D10" s="58" t="s">
        <v>53</v>
      </c>
      <c r="E10" s="33" t="s">
        <v>54</v>
      </c>
      <c r="F10" s="43" t="s">
        <v>55</v>
      </c>
      <c r="G10" s="35"/>
      <c r="H10" s="35"/>
      <c r="I10" s="43">
        <v>1</v>
      </c>
      <c r="J10" s="35"/>
      <c r="K10" s="35" t="s">
        <v>56</v>
      </c>
      <c r="L10" s="32" t="s">
        <v>57</v>
      </c>
      <c r="M10" s="34" t="s">
        <v>58</v>
      </c>
      <c r="N10" s="36">
        <v>120</v>
      </c>
      <c r="O10" s="37">
        <v>0.08</v>
      </c>
      <c r="P10" s="37">
        <v>0.15</v>
      </c>
      <c r="Q10" s="38">
        <f t="shared" si="0"/>
        <v>0.0471433628318584</v>
      </c>
      <c r="R10" s="38">
        <f t="shared" si="1"/>
        <v>0.0471433628318584</v>
      </c>
      <c r="S10" s="39">
        <f t="shared" ref="S10:S16" si="2">P10*N10</f>
        <v>18</v>
      </c>
    </row>
    <row r="11" s="3" customFormat="1" ht="36" customHeight="1" spans="1:22">
      <c r="A11" s="31">
        <v>7</v>
      </c>
      <c r="B11" s="32" t="s">
        <v>36</v>
      </c>
      <c r="C11" s="32" t="s">
        <v>37</v>
      </c>
      <c r="D11" s="58" t="s">
        <v>59</v>
      </c>
      <c r="E11" s="44" t="s">
        <v>60</v>
      </c>
      <c r="F11" s="34" t="s">
        <v>61</v>
      </c>
      <c r="G11" s="34"/>
      <c r="H11" s="32"/>
      <c r="I11" s="34">
        <v>2</v>
      </c>
      <c r="J11" s="32"/>
      <c r="K11" s="35" t="s">
        <v>62</v>
      </c>
      <c r="L11" s="32" t="s">
        <v>57</v>
      </c>
      <c r="M11" s="34" t="s">
        <v>63</v>
      </c>
      <c r="N11" s="36">
        <v>240</v>
      </c>
      <c r="O11" s="37">
        <v>0.2</v>
      </c>
      <c r="P11" s="37">
        <v>0.3</v>
      </c>
      <c r="Q11" s="38">
        <f t="shared" si="0"/>
        <v>0.0514867256637168</v>
      </c>
      <c r="R11" s="38">
        <f t="shared" si="1"/>
        <v>0.102973451327434</v>
      </c>
      <c r="S11" s="39">
        <f t="shared" si="2"/>
        <v>72</v>
      </c>
    </row>
    <row r="12" s="4" customFormat="1" ht="36" customHeight="1" spans="1:22">
      <c r="A12" s="31">
        <v>8</v>
      </c>
      <c r="B12" s="32" t="s">
        <v>36</v>
      </c>
      <c r="C12" s="32" t="s">
        <v>37</v>
      </c>
      <c r="D12" s="58" t="s">
        <v>64</v>
      </c>
      <c r="E12" s="32" t="s">
        <v>65</v>
      </c>
      <c r="F12" s="34" t="s">
        <v>61</v>
      </c>
      <c r="G12" s="45"/>
      <c r="H12" s="45"/>
      <c r="I12" s="45">
        <v>3</v>
      </c>
      <c r="J12" s="45"/>
      <c r="K12" s="35" t="s">
        <v>66</v>
      </c>
      <c r="L12" s="32" t="s">
        <v>57</v>
      </c>
      <c r="M12" s="34" t="s">
        <v>63</v>
      </c>
      <c r="N12" s="36">
        <v>360</v>
      </c>
      <c r="O12" s="37">
        <v>0.04</v>
      </c>
      <c r="P12" s="37">
        <v>0.07</v>
      </c>
      <c r="Q12" s="38">
        <f t="shared" si="0"/>
        <v>0.0191469026548673</v>
      </c>
      <c r="R12" s="38">
        <f t="shared" si="1"/>
        <v>0.0574407079646018</v>
      </c>
      <c r="S12" s="39">
        <f t="shared" si="2"/>
        <v>25.2</v>
      </c>
    </row>
    <row r="13" s="4" customFormat="1" ht="36" customHeight="1" spans="1:22">
      <c r="A13" s="31">
        <v>9</v>
      </c>
      <c r="B13" s="46" t="s">
        <v>36</v>
      </c>
      <c r="C13" s="46" t="s">
        <v>37</v>
      </c>
      <c r="D13" s="59" t="s">
        <v>67</v>
      </c>
      <c r="E13" s="46" t="s">
        <v>68</v>
      </c>
      <c r="F13" s="33" t="s">
        <v>69</v>
      </c>
      <c r="G13" s="47"/>
      <c r="H13" s="47"/>
      <c r="I13" s="47">
        <v>1</v>
      </c>
      <c r="J13" s="47"/>
      <c r="K13" s="48" t="s">
        <v>70</v>
      </c>
      <c r="L13" s="46" t="s">
        <v>57</v>
      </c>
      <c r="M13" s="33" t="s">
        <v>63</v>
      </c>
      <c r="N13" s="49">
        <v>120</v>
      </c>
      <c r="O13" s="50">
        <v>0.2</v>
      </c>
      <c r="P13" s="37">
        <v>0.4</v>
      </c>
      <c r="Q13" s="38">
        <f t="shared" si="0"/>
        <v>0.139982300884956</v>
      </c>
      <c r="R13" s="38">
        <f t="shared" si="1"/>
        <v>0.139982300884956</v>
      </c>
      <c r="S13" s="39">
        <f t="shared" si="2"/>
        <v>48</v>
      </c>
    </row>
    <row r="14" s="4" customFormat="1" ht="36" customHeight="1" spans="1:22">
      <c r="A14" s="31">
        <v>10</v>
      </c>
      <c r="B14" s="51" t="s">
        <v>36</v>
      </c>
      <c r="C14" s="51" t="s">
        <v>37</v>
      </c>
      <c r="D14" s="60" t="s">
        <v>71</v>
      </c>
      <c r="E14" s="53" t="s">
        <v>72</v>
      </c>
      <c r="F14" s="53" t="s">
        <v>73</v>
      </c>
      <c r="G14" s="52"/>
      <c r="H14" s="52"/>
      <c r="I14" s="52">
        <v>2</v>
      </c>
      <c r="J14" s="52"/>
      <c r="K14" s="52" t="s">
        <v>74</v>
      </c>
      <c r="L14" s="51" t="s">
        <v>57</v>
      </c>
      <c r="M14" s="54" t="s">
        <v>63</v>
      </c>
      <c r="N14" s="55">
        <v>240</v>
      </c>
      <c r="O14" s="38">
        <v>0.03</v>
      </c>
      <c r="P14" s="37">
        <v>0.05</v>
      </c>
      <c r="Q14" s="38">
        <f t="shared" si="0"/>
        <v>0.0121477876106195</v>
      </c>
      <c r="R14" s="38">
        <f t="shared" si="1"/>
        <v>0.0242955752212389</v>
      </c>
      <c r="S14" s="39">
        <f t="shared" si="2"/>
        <v>12</v>
      </c>
    </row>
    <row r="15" s="3" customFormat="1" ht="36" customHeight="1" spans="1:22">
      <c r="A15" s="31">
        <v>4</v>
      </c>
      <c r="B15" s="32" t="s">
        <v>36</v>
      </c>
      <c r="C15" s="32" t="s">
        <v>37</v>
      </c>
      <c r="D15" s="58" t="s">
        <v>75</v>
      </c>
      <c r="E15" s="33" t="s">
        <v>76</v>
      </c>
      <c r="F15" s="43" t="s">
        <v>77</v>
      </c>
      <c r="G15" s="35"/>
      <c r="H15" s="35"/>
      <c r="I15" s="43">
        <v>8</v>
      </c>
      <c r="J15" s="35"/>
      <c r="K15" s="35" t="s">
        <v>78</v>
      </c>
      <c r="L15" s="32" t="s">
        <v>57</v>
      </c>
      <c r="M15" s="34" t="s">
        <v>79</v>
      </c>
      <c r="N15" s="36">
        <v>1000</v>
      </c>
      <c r="O15" s="37">
        <f>0.92/1.13</f>
        <v>0.814159292035398</v>
      </c>
      <c r="P15" s="37">
        <v>1.2</v>
      </c>
      <c r="Q15" s="38">
        <f t="shared" si="0"/>
        <v>0.190796460176991</v>
      </c>
      <c r="R15" s="38">
        <f t="shared" si="1"/>
        <v>1.52637168141593</v>
      </c>
      <c r="S15" s="39">
        <f t="shared" si="2"/>
        <v>1200</v>
      </c>
      <c r="T15" s="1"/>
      <c r="U15" s="1" t="s">
        <v>80</v>
      </c>
      <c r="V15" s="1" t="s">
        <v>81</v>
      </c>
    </row>
    <row r="16" s="3" customFormat="1" ht="36" customHeight="1" spans="1:22">
      <c r="A16" s="31">
        <v>5</v>
      </c>
      <c r="B16" s="32" t="s">
        <v>36</v>
      </c>
      <c r="C16" s="32" t="s">
        <v>37</v>
      </c>
      <c r="D16" s="58" t="s">
        <v>82</v>
      </c>
      <c r="E16" s="33" t="s">
        <v>83</v>
      </c>
      <c r="F16" s="43" t="s">
        <v>77</v>
      </c>
      <c r="G16" s="35"/>
      <c r="H16" s="35"/>
      <c r="I16" s="43">
        <v>2</v>
      </c>
      <c r="J16" s="35"/>
      <c r="K16" s="35" t="s">
        <v>84</v>
      </c>
      <c r="L16" s="32" t="s">
        <v>57</v>
      </c>
      <c r="M16" s="34" t="s">
        <v>85</v>
      </c>
      <c r="N16" s="36">
        <v>250</v>
      </c>
      <c r="O16" s="37">
        <f>0.65/1.13</f>
        <v>0.575221238938053</v>
      </c>
      <c r="P16" s="37">
        <v>1</v>
      </c>
      <c r="Q16" s="38">
        <f t="shared" si="0"/>
        <v>0.269469026548673</v>
      </c>
      <c r="R16" s="39">
        <f t="shared" si="1"/>
        <v>0.538938053097345</v>
      </c>
      <c r="S16" s="39">
        <f t="shared" si="2"/>
        <v>250</v>
      </c>
    </row>
    <row r="17" s="4" customFormat="1" customHeight="1" spans="5:24">
      <c r="E17" s="56"/>
      <c r="F17" s="56"/>
      <c r="H17" s="4" t="s">
        <v>86</v>
      </c>
      <c r="R17" s="39">
        <f>SUM(R7:R16)</f>
        <v>2.58774159292036</v>
      </c>
      <c r="U17" s="52" t="s">
        <v>87</v>
      </c>
      <c r="V17" s="52">
        <v>450000</v>
      </c>
      <c r="W17" s="52">
        <f>V17*0.8</f>
        <v>360000</v>
      </c>
      <c r="X17" s="52">
        <f>V17*0.5</f>
        <v>225000</v>
      </c>
    </row>
    <row r="18" s="4" customFormat="1" customHeight="1" spans="5:24">
      <c r="E18" s="56"/>
      <c r="F18" s="56"/>
      <c r="H18" s="4">
        <v>1</v>
      </c>
      <c r="J18" s="4" t="s">
        <v>88</v>
      </c>
      <c r="K18" s="4" t="s">
        <v>89</v>
      </c>
      <c r="L18" s="4" t="s">
        <v>90</v>
      </c>
      <c r="M18" s="4">
        <v>15609441867</v>
      </c>
      <c r="U18" s="52" t="s">
        <v>91</v>
      </c>
      <c r="V18" s="57">
        <f>V17*R17</f>
        <v>1164483.71681416</v>
      </c>
      <c r="W18" s="52">
        <f>W17*R17</f>
        <v>931586.973451328</v>
      </c>
      <c r="X18" s="52">
        <f>R17*X17</f>
        <v>582241.85840708</v>
      </c>
    </row>
    <row r="19" s="4" customFormat="1" customHeight="1" spans="5:24">
      <c r="E19" s="56"/>
      <c r="F19" s="56"/>
      <c r="H19" s="4">
        <v>2</v>
      </c>
      <c r="J19" s="4" t="s">
        <v>92</v>
      </c>
      <c r="K19" s="4" t="s">
        <v>93</v>
      </c>
      <c r="L19" s="4" t="s">
        <v>94</v>
      </c>
      <c r="M19" s="4">
        <v>18948286755</v>
      </c>
    </row>
    <row r="20" s="4" customFormat="1" customHeight="1" spans="5:24">
      <c r="E20" s="56"/>
      <c r="F20" s="56"/>
    </row>
    <row r="21" s="4" customFormat="1" customHeight="1" spans="5:24">
      <c r="E21" s="56"/>
      <c r="F21" s="56"/>
    </row>
    <row r="22" s="4" customFormat="1" customHeight="1" spans="5:24">
      <c r="E22" s="56"/>
      <c r="F22" s="56"/>
    </row>
    <row r="23" s="4" customFormat="1" customHeight="1" spans="5:24">
      <c r="E23" s="56"/>
      <c r="F23" s="56"/>
    </row>
    <row r="24" s="4" customFormat="1" customHeight="1" spans="5:24">
      <c r="E24" s="56"/>
      <c r="F24" s="56"/>
    </row>
    <row r="25" s="4" customFormat="1" customHeight="1" spans="5:24">
      <c r="E25" s="56"/>
      <c r="F25" s="56"/>
    </row>
    <row r="26" s="4" customFormat="1" customHeight="1" spans="5:24">
      <c r="E26" s="56"/>
      <c r="F26" s="56"/>
    </row>
    <row r="27" s="4" customFormat="1" customHeight="1" spans="5:24">
      <c r="E27" s="56"/>
      <c r="F27" s="56"/>
    </row>
    <row r="28" s="4" customFormat="1" customHeight="1" spans="5:24">
      <c r="E28" s="56"/>
      <c r="F28" s="56"/>
    </row>
    <row r="29" s="4" customFormat="1" customHeight="1" spans="5:24">
      <c r="E29" s="56"/>
      <c r="F29" s="56"/>
    </row>
    <row r="30" s="4" customFormat="1" customHeight="1" spans="5:24">
      <c r="E30" s="56"/>
      <c r="F30" s="56"/>
    </row>
    <row r="31" s="4" customFormat="1" customHeight="1" spans="5:24">
      <c r="E31" s="56"/>
      <c r="F31" s="56"/>
    </row>
    <row r="32" s="4" customFormat="1" customHeight="1" spans="5:24">
      <c r="E32" s="56"/>
      <c r="F32" s="56"/>
    </row>
    <row r="33" s="4" customFormat="1" customHeight="1" spans="5:6">
      <c r="E33" s="56"/>
      <c r="F33" s="56"/>
    </row>
    <row r="34" s="4" customFormat="1" customHeight="1" spans="5:6">
      <c r="E34" s="56"/>
      <c r="F34" s="56"/>
    </row>
    <row r="35" s="4" customFormat="1" customHeight="1" spans="5:6">
      <c r="E35" s="56"/>
      <c r="F35" s="56"/>
    </row>
    <row r="36" s="4" customFormat="1" customHeight="1" spans="5:6">
      <c r="E36" s="56"/>
      <c r="F36" s="56"/>
    </row>
    <row r="37" s="4" customFormat="1" customHeight="1" spans="5:6">
      <c r="E37" s="56"/>
      <c r="F37" s="56"/>
    </row>
    <row r="38" s="4" customFormat="1" customHeight="1" spans="5:6">
      <c r="E38" s="56"/>
      <c r="F38" s="56"/>
    </row>
    <row r="39" s="4" customFormat="1" customHeight="1" spans="5:6">
      <c r="E39" s="56"/>
      <c r="F39" s="56"/>
    </row>
    <row r="40" s="4" customFormat="1" customHeight="1" spans="5:6">
      <c r="E40" s="56"/>
      <c r="F40" s="56"/>
    </row>
    <row r="41" s="4" customFormat="1" customHeight="1" spans="5:6">
      <c r="E41" s="56"/>
      <c r="F41" s="56"/>
    </row>
    <row r="42" s="4" customFormat="1" customHeight="1" spans="5:6">
      <c r="E42" s="56"/>
      <c r="F42" s="56"/>
    </row>
    <row r="43" s="4" customFormat="1" customHeight="1" spans="5:6">
      <c r="E43" s="56"/>
      <c r="F43" s="56"/>
    </row>
    <row r="44" s="4" customFormat="1" customHeight="1" spans="5:6">
      <c r="E44" s="56"/>
      <c r="F44" s="56"/>
    </row>
    <row r="45" s="4" customFormat="1" customHeight="1" spans="5:6">
      <c r="E45" s="56"/>
      <c r="F45" s="56"/>
    </row>
    <row r="46" s="4" customFormat="1" customHeight="1" spans="5:6">
      <c r="E46" s="56"/>
      <c r="F46" s="56"/>
    </row>
    <row r="47" s="4" customFormat="1" customHeight="1" spans="5:6">
      <c r="E47" s="56"/>
      <c r="F47" s="56"/>
    </row>
    <row r="48" s="4" customFormat="1" customHeight="1" spans="5:6">
      <c r="E48" s="56"/>
      <c r="F48" s="56"/>
    </row>
    <row r="49" s="4" customFormat="1" customHeight="1" spans="5:6">
      <c r="E49" s="56"/>
      <c r="F49" s="56"/>
    </row>
    <row r="50" s="4" customFormat="1" customHeight="1" spans="5:6">
      <c r="E50" s="56"/>
      <c r="F50" s="56"/>
    </row>
    <row r="51" s="4" customFormat="1" customHeight="1" spans="5:6">
      <c r="E51" s="56"/>
      <c r="F51" s="56"/>
    </row>
    <row r="52" s="4" customFormat="1" customHeight="1" spans="5:6">
      <c r="E52" s="56"/>
      <c r="F52" s="56"/>
    </row>
    <row r="53" s="4" customFormat="1" customHeight="1" spans="5:6">
      <c r="E53" s="56"/>
      <c r="F53" s="56"/>
    </row>
    <row r="54" s="4" customFormat="1" customHeight="1" spans="5:6">
      <c r="E54" s="56"/>
      <c r="F54" s="56"/>
    </row>
    <row r="55" s="4" customFormat="1" customHeight="1" spans="5:6">
      <c r="E55" s="56"/>
      <c r="F55" s="56"/>
    </row>
    <row r="56" s="4" customFormat="1" customHeight="1" spans="5:6">
      <c r="E56" s="56"/>
      <c r="F56" s="56"/>
    </row>
    <row r="57" s="4" customFormat="1" customHeight="1" spans="5:6">
      <c r="E57" s="56"/>
      <c r="F57" s="56"/>
    </row>
    <row r="58" s="4" customFormat="1" customHeight="1" spans="5:6">
      <c r="E58" s="56"/>
      <c r="F58" s="56"/>
    </row>
    <row r="59" s="4" customFormat="1" customHeight="1" spans="5:6">
      <c r="E59" s="56"/>
      <c r="F59" s="56"/>
    </row>
    <row r="60" s="4" customFormat="1" customHeight="1" spans="5:6">
      <c r="E60" s="56"/>
      <c r="F60" s="56"/>
    </row>
    <row r="61" s="4" customFormat="1" customHeight="1" spans="5:6">
      <c r="E61" s="56"/>
      <c r="F61" s="56"/>
    </row>
    <row r="62" s="4" customFormat="1" customHeight="1" spans="5:6">
      <c r="E62" s="56"/>
      <c r="F62" s="56"/>
    </row>
    <row r="63" s="4" customFormat="1" customHeight="1" spans="5:6">
      <c r="E63" s="56"/>
      <c r="F63" s="56"/>
    </row>
    <row r="64" s="4" customFormat="1" customHeight="1" spans="5:6">
      <c r="E64" s="56"/>
      <c r="F64" s="56"/>
    </row>
    <row r="65" s="4" customFormat="1" customHeight="1" spans="1:14">
      <c r="E65" s="56"/>
      <c r="F65" s="56"/>
    </row>
    <row r="66" s="4" customFormat="1" customHeight="1" spans="1:14">
      <c r="E66" s="56"/>
      <c r="F66" s="56"/>
    </row>
    <row r="67" s="4" customFormat="1" customHeight="1" spans="1:14">
      <c r="E67" s="56"/>
      <c r="F67" s="56"/>
    </row>
    <row r="68" s="4" customFormat="1" customHeight="1" spans="1:14">
      <c r="E68" s="56"/>
      <c r="F68" s="56"/>
    </row>
    <row r="69" s="4" customFormat="1" customHeight="1" spans="1:14">
      <c r="E69" s="56"/>
      <c r="F69" s="56"/>
    </row>
    <row r="70" customHeight="1" spans="1:14">
      <c r="A70" s="4"/>
      <c r="B70" s="4"/>
      <c r="C70" s="4"/>
      <c r="D70" s="4"/>
      <c r="E70" s="56"/>
      <c r="F70" s="56"/>
      <c r="G70" s="4"/>
      <c r="H70" s="4"/>
      <c r="I70" s="4"/>
      <c r="J70" s="4"/>
      <c r="K70" s="4"/>
      <c r="L70" s="4"/>
      <c r="M70" s="4"/>
      <c r="N70" s="4"/>
    </row>
  </sheetData>
  <mergeCells count="3">
    <mergeCell ref="K2:S2"/>
    <mergeCell ref="N5:N6"/>
    <mergeCell ref="A3:M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Caoxufeng</cp:lastModifiedBy>
  <dcterms:created xsi:type="dcterms:W3CDTF">2006-09-16T00:00:00Z</dcterms:created>
  <dcterms:modified xsi:type="dcterms:W3CDTF">2026-08-27T07:20:36Z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6914795DC6654614B06B668E863D2ACF_13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
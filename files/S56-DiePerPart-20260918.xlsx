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件单独刀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+0.0%;-0.0%"/>
  </numFmts>
  <fonts count="6">
    <font>
      <name val="Calibri"/>
      <family val="2"/>
      <color theme="1"/>
      <sz val="11"/>
      <scheme val="minor"/>
    </font>
    <font>
      <name val="微软雅黑"/>
      <b val="1"/>
      <color rgb="FFE82127"/>
      <sz val="14"/>
    </font>
    <font>
      <name val="微软雅黑"/>
      <color rgb="FF5C5E62"/>
      <sz val="9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FFE82127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D"/>
      </left>
      <right style="thin">
        <color rgb="FFD9D9DD"/>
      </right>
      <top style="thin">
        <color rgb="FFD9D9DD"/>
      </top>
      <bottom style="thin">
        <color rgb="FFD9D9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8" customWidth="1" min="4" max="4"/>
    <col width="12" customWidth="1" min="5" max="5"/>
    <col width="9" customWidth="1" min="6" max="6"/>
    <col width="10" customWidth="1" min="7" max="7"/>
    <col width="16" customWidth="1" min="8" max="8"/>
    <col width="11" customWidth="1" min="9" max="9"/>
    <col width="8" customWidth="1" min="10" max="10"/>
    <col width="11" customWidth="1" min="11" max="11"/>
    <col width="11" customWidth="1" min="12" max="12"/>
    <col width="12" customWidth="1" min="13" max="13"/>
    <col width="11" customWidth="1" min="14" max="14"/>
    <col width="13" customWidth="1" min="15" max="15"/>
    <col width="11" customWidth="1" min="16" max="16"/>
    <col width="8" customWidth="1" min="17" max="17"/>
    <col width="24" customWidth="1" min="18" max="18"/>
  </cols>
  <sheetData>
    <row r="1">
      <c r="A1" s="1" t="inlineStr">
        <is>
          <t>S56 吸音棉 每件单独开刀模 — 最高利用率排样</t>
        </is>
      </c>
    </row>
    <row r="2">
      <c r="A2" s="2" t="inlineStr">
        <is>
          <t>幅宽 1200mm ｜ 刀缝 3mm ｜ 套单耗 2.4002 ㎡ ｜ 利用率 56.2% ｜ 年材料 120010 ㎡ = ¥525044/年 ｜ 对照一套 16 件共排：2.1834 ㎡ / 65.8%（单独开模多耗 +9.9%，年 ¥+47425）</t>
        </is>
      </c>
    </row>
    <row r="4">
      <c r="A4" s="3" t="inlineStr">
        <is>
          <t>序号</t>
        </is>
      </c>
      <c r="B4" s="3" t="inlineStr">
        <is>
          <t>零件名称（官方）</t>
        </is>
      </c>
      <c r="C4" s="3" t="inlineStr">
        <is>
          <t>物料号（18位）</t>
        </is>
      </c>
      <c r="D4" s="3" t="inlineStr">
        <is>
          <t>单车用量</t>
        </is>
      </c>
      <c r="E4" s="3" t="inlineStr">
        <is>
          <t>成品净面积(㎡)</t>
        </is>
      </c>
      <c r="F4" s="3" t="inlineStr">
        <is>
          <t>最优方式</t>
        </is>
      </c>
      <c r="G4" s="3" t="inlineStr">
        <is>
          <t>腔数/周期</t>
        </is>
      </c>
      <c r="H4" s="3" t="inlineStr">
        <is>
          <t>刀模 W×T(mm)</t>
        </is>
      </c>
      <c r="I4" s="3" t="inlineStr">
        <is>
          <t>单件单耗(㎡)</t>
        </is>
      </c>
      <c r="J4" s="3" t="inlineStr">
        <is>
          <t>利用率</t>
        </is>
      </c>
      <c r="K4" s="3" t="inlineStr">
        <is>
          <t>网格排单耗</t>
        </is>
      </c>
      <c r="L4" s="3" t="inlineStr">
        <is>
          <t>互锁排单耗</t>
        </is>
      </c>
      <c r="M4" s="3" t="inlineStr">
        <is>
          <t>密排理论参考</t>
        </is>
      </c>
      <c r="N4" s="3" t="inlineStr">
        <is>
          <t>年量(件)</t>
        </is>
      </c>
      <c r="O4" s="3" t="inlineStr">
        <is>
          <t>年材料成本(¥)</t>
        </is>
      </c>
      <c r="P4" s="3" t="inlineStr">
        <is>
          <t>成本表单耗</t>
        </is>
      </c>
      <c r="Q4" s="3" t="inlineStr">
        <is>
          <t>差%</t>
        </is>
      </c>
      <c r="R4" s="3" t="inlineStr">
        <is>
          <t>DXF 文件名</t>
        </is>
      </c>
    </row>
    <row r="5">
      <c r="A5" s="4" t="n">
        <v>1</v>
      </c>
      <c r="B5" s="5" t="inlineStr">
        <is>
          <t>S56_X3L_右C下吸音棉4</t>
        </is>
      </c>
      <c r="C5" s="5" t="inlineStr">
        <is>
          <t>510000000000013898</t>
        </is>
      </c>
      <c r="D5" s="6" t="n">
        <v>1</v>
      </c>
      <c r="E5" s="7" t="n">
        <v>0.2147</v>
      </c>
      <c r="F5" s="4" t="inlineStr">
        <is>
          <t>互锁</t>
        </is>
      </c>
      <c r="G5" s="6" t="n">
        <v>2</v>
      </c>
      <c r="H5" s="5" t="inlineStr">
        <is>
          <t>1200 × 756</t>
        </is>
      </c>
      <c r="I5" s="7" t="n">
        <v>0.4536</v>
      </c>
      <c r="J5" s="8" t="n">
        <v>0.4732870370370371</v>
      </c>
      <c r="K5" s="7" t="n">
        <v>0.7239</v>
      </c>
      <c r="L5" s="7" t="n">
        <v>0.4536</v>
      </c>
      <c r="M5" s="7" t="n">
        <v>0.5444</v>
      </c>
      <c r="N5" s="9" t="n">
        <v>50000</v>
      </c>
      <c r="O5" s="9" t="n">
        <v>99225</v>
      </c>
      <c r="P5" s="7" t="n">
        <v>0.4177</v>
      </c>
      <c r="Q5" s="10" t="n">
        <v>0.08594685180751732</v>
      </c>
      <c r="R5" s="5" t="inlineStr">
        <is>
          <t>S56-13898-2x756.dxf</t>
        </is>
      </c>
    </row>
    <row r="6">
      <c r="A6" s="4" t="n">
        <v>2</v>
      </c>
      <c r="B6" s="5" t="inlineStr">
        <is>
          <t>S56_X3_C上吸音棉1</t>
        </is>
      </c>
      <c r="C6" s="5" t="inlineStr">
        <is>
          <t>510000000000012724</t>
        </is>
      </c>
      <c r="D6" s="6" t="n">
        <v>1</v>
      </c>
      <c r="E6" s="7" t="n">
        <v>0.0204</v>
      </c>
      <c r="F6" s="4" t="inlineStr">
        <is>
          <t>网格</t>
        </is>
      </c>
      <c r="G6" s="6" t="n">
        <v>5</v>
      </c>
      <c r="H6" s="5" t="inlineStr">
        <is>
          <t>1200 × 89</t>
        </is>
      </c>
      <c r="I6" s="7" t="n">
        <v>0.0214</v>
      </c>
      <c r="J6" s="8" t="n">
        <v>0.9542134831460675</v>
      </c>
      <c r="K6" s="7" t="n">
        <v>0.0214</v>
      </c>
      <c r="L6" s="7" t="n">
        <v>0.0534</v>
      </c>
      <c r="M6" s="7" t="n">
        <v>0.0272</v>
      </c>
      <c r="N6" s="9" t="n">
        <v>50000</v>
      </c>
      <c r="O6" s="9" t="n">
        <v>4672</v>
      </c>
      <c r="P6" s="7" t="n">
        <v>0.028</v>
      </c>
      <c r="Q6" s="10" t="n">
        <v>-0.2371428571428571</v>
      </c>
      <c r="R6" s="5" t="inlineStr">
        <is>
          <t>S56-12724-5x89.dxf</t>
        </is>
      </c>
    </row>
    <row r="7">
      <c r="A7" s="4" t="n">
        <v>3</v>
      </c>
      <c r="B7" s="5" t="inlineStr">
        <is>
          <t>S56_X3_C上吸音棉2</t>
        </is>
      </c>
      <c r="C7" s="5" t="inlineStr">
        <is>
          <t>510000000000012725</t>
        </is>
      </c>
      <c r="D7" s="6" t="n">
        <v>1</v>
      </c>
      <c r="E7" s="7" t="n">
        <v>0.0369</v>
      </c>
      <c r="F7" s="4" t="inlineStr">
        <is>
          <t>网格</t>
        </is>
      </c>
      <c r="G7" s="6" t="n">
        <v>13</v>
      </c>
      <c r="H7" s="5" t="inlineStr">
        <is>
          <t>1200 × 492</t>
        </is>
      </c>
      <c r="I7" s="7" t="n">
        <v>0.0454</v>
      </c>
      <c r="J7" s="8" t="n">
        <v>0.8119275067750678</v>
      </c>
      <c r="K7" s="7" t="n">
        <v>0.0454</v>
      </c>
      <c r="L7" s="7" t="n">
        <v>0.0534</v>
      </c>
      <c r="M7" s="7" t="n">
        <v>0.0493</v>
      </c>
      <c r="N7" s="9" t="n">
        <v>50000</v>
      </c>
      <c r="O7" s="9" t="n">
        <v>9935</v>
      </c>
      <c r="P7" s="7" t="n">
        <v>0.054</v>
      </c>
      <c r="Q7" s="10" t="n">
        <v>-0.158974358974359</v>
      </c>
      <c r="R7" s="5" t="inlineStr">
        <is>
          <t>S56-12725-13x492.dxf</t>
        </is>
      </c>
    </row>
    <row r="8">
      <c r="A8" s="4" t="n">
        <v>4</v>
      </c>
      <c r="B8" s="5" t="inlineStr">
        <is>
          <t>S56_X3_左下吸音棉3</t>
        </is>
      </c>
      <c r="C8" s="5" t="inlineStr">
        <is>
          <t>510000000000012721</t>
        </is>
      </c>
      <c r="D8" s="6" t="n">
        <v>1</v>
      </c>
      <c r="E8" s="7" t="n">
        <v>0.07779999999999999</v>
      </c>
      <c r="F8" s="4" t="inlineStr">
        <is>
          <t>互锁</t>
        </is>
      </c>
      <c r="G8" s="6" t="n">
        <v>2</v>
      </c>
      <c r="H8" s="5" t="inlineStr">
        <is>
          <t>1200 × 288</t>
        </is>
      </c>
      <c r="I8" s="7" t="n">
        <v>0.1725</v>
      </c>
      <c r="J8" s="8" t="n">
        <v>0.4509045594202901</v>
      </c>
      <c r="K8" s="7" t="n">
        <v>0.2243</v>
      </c>
      <c r="L8" s="7" t="n">
        <v>0.1725</v>
      </c>
      <c r="M8" s="7" t="n">
        <v>0.1798</v>
      </c>
      <c r="N8" s="9" t="n">
        <v>50000</v>
      </c>
      <c r="O8" s="9" t="n">
        <v>37734</v>
      </c>
      <c r="P8" s="7" t="n">
        <v>0.1645</v>
      </c>
      <c r="Q8" s="10" t="n">
        <v>0.04863221884498468</v>
      </c>
      <c r="R8" s="5" t="inlineStr">
        <is>
          <t>S56-12721-2x288.dxf</t>
        </is>
      </c>
    </row>
    <row r="9">
      <c r="A9" s="4" t="n">
        <v>5</v>
      </c>
      <c r="B9" s="5" t="inlineStr">
        <is>
          <t>S56_X3L_左C下吸音棉5</t>
        </is>
      </c>
      <c r="C9" s="5" t="inlineStr">
        <is>
          <t>510000000000013897</t>
        </is>
      </c>
      <c r="D9" s="6" t="n">
        <v>1</v>
      </c>
      <c r="E9" s="7" t="n">
        <v>0.157</v>
      </c>
      <c r="F9" s="4" t="inlineStr">
        <is>
          <t>互锁</t>
        </is>
      </c>
      <c r="G9" s="6" t="n">
        <v>2</v>
      </c>
      <c r="H9" s="5" t="inlineStr">
        <is>
          <t>1200 × 508</t>
        </is>
      </c>
      <c r="I9" s="7" t="n">
        <v>0.3048</v>
      </c>
      <c r="J9" s="8" t="n">
        <v>0.5151375902230971</v>
      </c>
      <c r="K9" s="7" t="n">
        <v>0.3872</v>
      </c>
      <c r="L9" s="7" t="n">
        <v>0.3048</v>
      </c>
      <c r="M9" s="7" t="n">
        <v>0.3962</v>
      </c>
      <c r="N9" s="9" t="n">
        <v>50000</v>
      </c>
      <c r="O9" s="9" t="n">
        <v>66675</v>
      </c>
      <c r="P9" s="7" t="n">
        <v>0.238</v>
      </c>
      <c r="Q9" s="10" t="n">
        <v>0.2806722689075631</v>
      </c>
      <c r="R9" s="5" t="inlineStr">
        <is>
          <t>S56-13897-2x508.dxf</t>
        </is>
      </c>
    </row>
    <row r="10">
      <c r="A10" s="4" t="n">
        <v>6</v>
      </c>
      <c r="B10" s="5" t="inlineStr">
        <is>
          <t>S56_X3L_右C下吸音棉5</t>
        </is>
      </c>
      <c r="C10" s="5" t="inlineStr">
        <is>
          <t>510000000000013899</t>
        </is>
      </c>
      <c r="D10" s="6" t="n">
        <v>1</v>
      </c>
      <c r="E10" s="7" t="n">
        <v>0.1379</v>
      </c>
      <c r="F10" s="4" t="inlineStr">
        <is>
          <t>互锁</t>
        </is>
      </c>
      <c r="G10" s="6" t="n">
        <v>2</v>
      </c>
      <c r="H10" s="5" t="inlineStr">
        <is>
          <t>1200 × 452</t>
        </is>
      </c>
      <c r="I10" s="7" t="n">
        <v>0.2712</v>
      </c>
      <c r="J10" s="8" t="n">
        <v>0.5083483130530974</v>
      </c>
      <c r="K10" s="7" t="n">
        <v>0.3874</v>
      </c>
      <c r="L10" s="7" t="n">
        <v>0.2712</v>
      </c>
      <c r="M10" s="7" t="n">
        <v>0.2739</v>
      </c>
      <c r="N10" s="9" t="n">
        <v>50000</v>
      </c>
      <c r="O10" s="9" t="n">
        <v>59325</v>
      </c>
      <c r="P10" s="7" t="n">
        <v>0.2178</v>
      </c>
      <c r="Q10" s="10" t="n">
        <v>0.2451790633608816</v>
      </c>
      <c r="R10" s="5" t="inlineStr">
        <is>
          <t>S56-13899-2x452.dxf</t>
        </is>
      </c>
    </row>
    <row r="11">
      <c r="A11" s="4" t="n">
        <v>7</v>
      </c>
      <c r="B11" s="5" t="inlineStr">
        <is>
          <t>S56_X3L_左C下吸音棉4</t>
        </is>
      </c>
      <c r="C11" s="5" t="inlineStr">
        <is>
          <t>510000000000013896</t>
        </is>
      </c>
      <c r="D11" s="6" t="n">
        <v>1</v>
      </c>
      <c r="E11" s="7" t="n">
        <v>0.2136</v>
      </c>
      <c r="F11" s="4" t="inlineStr">
        <is>
          <t>互锁</t>
        </is>
      </c>
      <c r="G11" s="6" t="n">
        <v>2</v>
      </c>
      <c r="H11" s="5" t="inlineStr">
        <is>
          <t>1200 × 624</t>
        </is>
      </c>
      <c r="I11" s="7" t="n">
        <v>0.3744</v>
      </c>
      <c r="J11" s="8" t="n">
        <v>0.5705154079861111</v>
      </c>
      <c r="K11" s="7" t="n">
        <v>0.4392</v>
      </c>
      <c r="L11" s="7" t="n">
        <v>0.3744</v>
      </c>
      <c r="M11" s="7" t="n">
        <v>0.455</v>
      </c>
      <c r="N11" s="9" t="n">
        <v>50000</v>
      </c>
      <c r="O11" s="9" t="n">
        <v>81900</v>
      </c>
      <c r="P11" s="7" t="n">
        <v>0.3657</v>
      </c>
      <c r="Q11" s="10" t="n">
        <v>0.02378999179655451</v>
      </c>
      <c r="R11" s="5" t="inlineStr">
        <is>
          <t>S56-13896-2x624.dxf</t>
        </is>
      </c>
    </row>
    <row r="12">
      <c r="A12" s="4" t="n">
        <v>8</v>
      </c>
      <c r="B12" s="5" t="inlineStr">
        <is>
          <t>S56_X3_吸音棉2</t>
        </is>
      </c>
      <c r="C12" s="5" t="inlineStr">
        <is>
          <t>510000000000012330</t>
        </is>
      </c>
      <c r="D12" s="6" t="n">
        <v>2</v>
      </c>
      <c r="E12" s="7" t="n">
        <v>0.0395</v>
      </c>
      <c r="F12" s="4" t="inlineStr">
        <is>
          <t>网格</t>
        </is>
      </c>
      <c r="G12" s="6" t="n">
        <v>5</v>
      </c>
      <c r="H12" s="5" t="inlineStr">
        <is>
          <t>1200 × 245</t>
        </is>
      </c>
      <c r="I12" s="7" t="n">
        <v>0.0588</v>
      </c>
      <c r="J12" s="8" t="n">
        <v>0.6715571853741497</v>
      </c>
      <c r="K12" s="7" t="n">
        <v>0.0588</v>
      </c>
      <c r="L12" s="7" t="n">
        <v>0.1437</v>
      </c>
      <c r="M12" s="7" t="n">
        <v>0.0605</v>
      </c>
      <c r="N12" s="9" t="n">
        <v>100000</v>
      </c>
      <c r="O12" s="9" t="n">
        <v>25725</v>
      </c>
      <c r="P12" s="7" t="n">
        <v>0.0636</v>
      </c>
      <c r="Q12" s="10" t="n">
        <v>-0.07547169811320763</v>
      </c>
      <c r="R12" s="5" t="inlineStr">
        <is>
          <t>S56-12330-5x245.dxf</t>
        </is>
      </c>
    </row>
    <row r="13">
      <c r="A13" s="4" t="n">
        <v>9</v>
      </c>
      <c r="B13" s="5" t="inlineStr">
        <is>
          <t>S56_X3_C下吸音棉1</t>
        </is>
      </c>
      <c r="C13" s="5" t="inlineStr">
        <is>
          <t>510000000000012719</t>
        </is>
      </c>
      <c r="D13" s="6" t="n">
        <v>2</v>
      </c>
      <c r="E13" s="7" t="n">
        <v>0.0255</v>
      </c>
      <c r="F13" s="4" t="inlineStr">
        <is>
          <t>网格</t>
        </is>
      </c>
      <c r="G13" s="6" t="n">
        <v>10</v>
      </c>
      <c r="H13" s="5" t="inlineStr">
        <is>
          <t>1200 × 260</t>
        </is>
      </c>
      <c r="I13" s="7" t="n">
        <v>0.0312</v>
      </c>
      <c r="J13" s="8" t="n">
        <v>0.8149945965417867</v>
      </c>
      <c r="K13" s="7" t="n">
        <v>0.0312</v>
      </c>
      <c r="L13" s="7" t="n">
        <v>0.0698</v>
      </c>
      <c r="M13" s="7" t="n">
        <v>0.0351</v>
      </c>
      <c r="N13" s="9" t="n">
        <v>100000</v>
      </c>
      <c r="O13" s="9" t="n">
        <v>13663</v>
      </c>
      <c r="P13" s="7" t="n">
        <v>0.0366</v>
      </c>
      <c r="Q13" s="10" t="n">
        <v>-0.1467213114754098</v>
      </c>
      <c r="R13" s="5" t="inlineStr">
        <is>
          <t>S56-12719-10x260.dxf</t>
        </is>
      </c>
    </row>
    <row r="14">
      <c r="A14" s="4" t="n">
        <v>10</v>
      </c>
      <c r="B14" s="5" t="inlineStr">
        <is>
          <t>S56_X3_右下吸音棉2</t>
        </is>
      </c>
      <c r="C14" s="5" t="inlineStr">
        <is>
          <t>510000000000012727</t>
        </is>
      </c>
      <c r="D14" s="6" t="n">
        <v>1</v>
      </c>
      <c r="E14" s="7" t="n">
        <v>0.1755</v>
      </c>
      <c r="F14" s="4" t="inlineStr">
        <is>
          <t>互锁</t>
        </is>
      </c>
      <c r="G14" s="6" t="n">
        <v>2</v>
      </c>
      <c r="H14" s="5" t="inlineStr">
        <is>
          <t>1200 × 516</t>
        </is>
      </c>
      <c r="I14" s="7" t="n">
        <v>0.3096</v>
      </c>
      <c r="J14" s="8" t="n">
        <v>0.56679768249354</v>
      </c>
      <c r="K14" s="7" t="n">
        <v>0.3096</v>
      </c>
      <c r="L14" s="7" t="n">
        <v>0.3096</v>
      </c>
      <c r="M14" s="7" t="n">
        <v>0.2636</v>
      </c>
      <c r="N14" s="9" t="n">
        <v>50000</v>
      </c>
      <c r="O14" s="9" t="n">
        <v>67725</v>
      </c>
      <c r="P14" s="7" t="n">
        <v>0.2352</v>
      </c>
      <c r="Q14" s="10" t="n">
        <v>0.3163265306122449</v>
      </c>
      <c r="R14" s="5" t="inlineStr">
        <is>
          <t>S56-12727-2x516.dxf</t>
        </is>
      </c>
    </row>
    <row r="15">
      <c r="A15" s="4" t="n">
        <v>11</v>
      </c>
      <c r="B15" s="5" t="inlineStr">
        <is>
          <t>S56_X3_03T吸音棉1</t>
        </is>
      </c>
      <c r="C15" s="5" t="inlineStr">
        <is>
          <t>510000000000012328</t>
        </is>
      </c>
      <c r="D15" s="6" t="n">
        <v>2</v>
      </c>
      <c r="E15" s="7" t="n">
        <v>0.0277</v>
      </c>
      <c r="F15" s="4" t="inlineStr">
        <is>
          <t>网格</t>
        </is>
      </c>
      <c r="G15" s="6" t="n">
        <v>3</v>
      </c>
      <c r="H15" s="5" t="inlineStr">
        <is>
          <t>1200 × 83</t>
        </is>
      </c>
      <c r="I15" s="7" t="n">
        <v>0.0332</v>
      </c>
      <c r="J15" s="8" t="n">
        <v>0.8354263930722891</v>
      </c>
      <c r="K15" s="7" t="n">
        <v>0.0332</v>
      </c>
      <c r="L15" s="7" t="n">
        <v>0.0498</v>
      </c>
      <c r="M15" s="7" t="n">
        <v>0.0358</v>
      </c>
      <c r="N15" s="9" t="n">
        <v>100000</v>
      </c>
      <c r="O15" s="9" t="n">
        <v>14525</v>
      </c>
      <c r="P15" s="7" t="n">
        <v>0.0398</v>
      </c>
      <c r="Q15" s="10" t="n">
        <v>-0.1658291457286433</v>
      </c>
      <c r="R15" s="5" t="inlineStr">
        <is>
          <t>S56-12328-3x83.dxf</t>
        </is>
      </c>
    </row>
    <row r="16">
      <c r="A16" s="4" t="n">
        <v>12</v>
      </c>
      <c r="B16" s="5" t="inlineStr">
        <is>
          <t>S56_X3_C上吸音棉3</t>
        </is>
      </c>
      <c r="C16" s="5" t="inlineStr">
        <is>
          <t>510000000000012726</t>
        </is>
      </c>
      <c r="D16" s="6" t="n">
        <v>1</v>
      </c>
      <c r="E16" s="7" t="n">
        <v>0.022</v>
      </c>
      <c r="F16" s="4" t="inlineStr">
        <is>
          <t>网格</t>
        </is>
      </c>
      <c r="G16" s="6" t="n">
        <v>3</v>
      </c>
      <c r="H16" s="5" t="inlineStr">
        <is>
          <t>1200 × 85</t>
        </is>
      </c>
      <c r="I16" s="7" t="n">
        <v>0.034</v>
      </c>
      <c r="J16" s="8" t="n">
        <v>0.6481470588235294</v>
      </c>
      <c r="K16" s="7" t="n">
        <v>0.034</v>
      </c>
      <c r="L16" s="7" t="n">
        <v>0.051</v>
      </c>
      <c r="M16" s="7" t="n">
        <v>0.0366</v>
      </c>
      <c r="N16" s="9" t="n">
        <v>50000</v>
      </c>
      <c r="O16" s="9" t="n">
        <v>7438</v>
      </c>
      <c r="P16" s="7" t="n">
        <v>0.0312</v>
      </c>
      <c r="Q16" s="10" t="n">
        <v>0.08974358974358987</v>
      </c>
      <c r="R16" s="5" t="inlineStr">
        <is>
          <t>S56-12726-3x85.dxf</t>
        </is>
      </c>
    </row>
    <row r="17">
      <c r="A17" s="4" t="n">
        <v>13</v>
      </c>
      <c r="B17" s="5" t="inlineStr">
        <is>
          <t>S56_X3_左下吸音棉2</t>
        </is>
      </c>
      <c r="C17" s="5" t="inlineStr">
        <is>
          <t>510000000000012720</t>
        </is>
      </c>
      <c r="D17" s="6" t="n">
        <v>1</v>
      </c>
      <c r="E17" s="7" t="n">
        <v>0.1078</v>
      </c>
      <c r="F17" s="4" t="inlineStr">
        <is>
          <t>互锁</t>
        </is>
      </c>
      <c r="G17" s="6" t="n">
        <v>2</v>
      </c>
      <c r="H17" s="5" t="inlineStr">
        <is>
          <t>1200 × 278</t>
        </is>
      </c>
      <c r="I17" s="7" t="n">
        <v>0.1669</v>
      </c>
      <c r="J17" s="8" t="n">
        <v>0.6460327177689911</v>
      </c>
      <c r="K17" s="7" t="n">
        <v>0.1669</v>
      </c>
      <c r="L17" s="7" t="n">
        <v>0.1669</v>
      </c>
      <c r="M17" s="7" t="n">
        <v>0.1806</v>
      </c>
      <c r="N17" s="9" t="n">
        <v>50000</v>
      </c>
      <c r="O17" s="9" t="n">
        <v>36514</v>
      </c>
      <c r="P17" s="7" t="n">
        <v>0.1454</v>
      </c>
      <c r="Q17" s="10" t="n">
        <v>0.1480055020632738</v>
      </c>
      <c r="R17" s="5" t="inlineStr">
        <is>
          <t>S56-12720-2x278.dxf</t>
        </is>
      </c>
    </row>
    <row r="18">
      <c r="A18" s="11" t="n"/>
      <c r="B18" s="11" t="inlineStr">
        <is>
          <t>合计（13 件 · 单车 16 件）</t>
        </is>
      </c>
      <c r="C18" s="11" t="n"/>
      <c r="D18" s="12">
        <f>SUM(D5:D17)</f>
        <v/>
      </c>
      <c r="E18" s="13">
        <f>SUM(E5:E17)</f>
        <v/>
      </c>
      <c r="F18" s="11" t="n"/>
      <c r="G18" s="11" t="n"/>
      <c r="H18" s="11" t="n"/>
      <c r="I18" s="11" t="n"/>
      <c r="J18" s="11" t="n"/>
      <c r="K18" s="11" t="n"/>
      <c r="L18" s="11" t="n"/>
      <c r="M18" s="11" t="n"/>
      <c r="N18" s="14">
        <f>SUM(N5:N17)</f>
        <v/>
      </c>
      <c r="O18" s="14">
        <f>SUM(O5:O17)</f>
        <v/>
      </c>
      <c r="P18" s="11" t="n"/>
      <c r="Q18" s="11" t="n"/>
      <c r="R18" s="11" t="n"/>
    </row>
    <row r="20">
      <c r="A20" t="inlineStr">
        <is>
          <t>① 每件独立开刀模，刀模尺寸 = 幅宽 1200 × 周期长 T，腔数 = 每周期件数；单耗 = 1200×T÷腔数（含幅宽方向边条废料）。</t>
        </is>
      </c>
    </row>
    <row r="21">
      <c r="A21" t="inlineStr">
        <is>
          <t>② 最优方式判定：网格排＝同朝向一排 N 腔并排；互锁排＝两腔中第二腔翻转 180° 并在幅宽方向错位对咬，周期 T = max(错位后所需间距, 件长+刀缝)。</t>
        </is>
      </c>
    </row>
    <row r="22">
      <c r="A22" t="inlineStr">
        <is>
          <t>③ 互锁排对大凹形件收益最大（51-13898 单耗 0.7239→0.4536，利用率 29.7%→47.3%）；小件靠并排拉满即达 80~95%。</t>
        </is>
      </c>
    </row>
    <row r="23">
      <c r="A23" t="inlineStr">
        <is>
          <t>④ 4 件大件（51-13898 / 13897 / 13899 / 13896）受幅宽限制，单独开模利用率封顶 40~50%，是全部浪费来源，占总材料约 74%。</t>
        </is>
      </c>
    </row>
    <row r="24">
      <c r="A24" t="inlineStr">
        <is>
          <t>⑤ 若追求整体最高利用率：小件单独开模（利用率反而高于共排）+ 大件两两对咬或恢复共排，是最优组合路线。</t>
        </is>
      </c>
    </row>
    <row r="25">
      <c r="A25" t="inlineStr">
        <is>
          <t>⑥ DXF 每件一个文件（PART 层=外形、HOLES 层=内孔、MATERIAL 层=刀模边界），已打包 zip。</t>
        </is>
      </c>
    </row>
  </sheetData>
  <mergeCells count="6">
    <mergeCell ref="A20:R20"/>
    <mergeCell ref="A21:R21"/>
    <mergeCell ref="A25:R25"/>
    <mergeCell ref="A24:R24"/>
    <mergeCell ref="A23:R23"/>
    <mergeCell ref="A22:R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2026-09-18T07:34:35Z</dcterms:created>
  <dcterms:modified xmlns:dcterms="http://purl.org/dc/terms/" xmlns:xsi="http://www.w3.org/2001/XMLSchema-instance" xsi:type="dcterms:W3CDTF">2026-09-18T07:34:35Z</dcterms:modified>
</cp:coreProperties>
</file>
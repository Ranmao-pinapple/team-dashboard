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年需求汇总" sheetId="1" state="visible" r:id="rId1"/>
    <sheet xmlns:r="http://schemas.openxmlformats.org/officeDocument/2006/relationships" name="报价(带公式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000"/>
    <numFmt numFmtId="166" formatCode="0.000"/>
  </numFmts>
  <fonts count="6">
    <font>
      <name val="Calibri"/>
      <family val="2"/>
      <color theme="1"/>
      <sz val="11"/>
      <scheme val="minor"/>
    </font>
    <font>
      <name val="微软雅黑"/>
      <b val="1"/>
      <color rgb="FFE82127"/>
      <sz val="14"/>
    </font>
    <font>
      <name val="微软雅黑"/>
      <color rgb="FF5C5E62"/>
      <sz val="9"/>
    </font>
    <font>
      <name val="微软雅黑"/>
      <b val="1"/>
      <color rgb="FFFFFFFF"/>
      <sz val="10"/>
    </font>
    <font>
      <name val="微软雅黑"/>
      <color rgb="FF171A20"/>
      <sz val="10"/>
    </font>
    <font>
      <name val="微软雅黑"/>
      <b val="1"/>
      <color rgb="FF171A20"/>
      <sz val="10"/>
    </font>
  </fonts>
  <fills count="6">
    <fill>
      <patternFill/>
    </fill>
    <fill>
      <patternFill patternType="gray125"/>
    </fill>
    <fill>
      <patternFill patternType="solid">
        <fgColor rgb="FFE82127"/>
      </patternFill>
    </fill>
    <fill>
      <patternFill patternType="solid">
        <fgColor rgb="FFFFE2E2"/>
      </patternFill>
    </fill>
    <fill>
      <patternFill patternType="solid">
        <fgColor rgb="FFF5F5F5"/>
      </patternFill>
    </fill>
    <fill>
      <patternFill patternType="solid">
        <fgColor rgb="FFFFF6E0"/>
      </patternFill>
    </fill>
  </fills>
  <borders count="2">
    <border>
      <left/>
      <right/>
      <top/>
      <bottom/>
      <diagonal/>
    </border>
    <border>
      <left style="thin">
        <color rgb="FFD9D9DD"/>
      </left>
      <right style="thin">
        <color rgb="FFD9D9DD"/>
      </right>
      <top style="thin">
        <color rgb="FFD9D9DD"/>
      </top>
      <bottom style="thin">
        <color rgb="FFD9D9DD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1" fontId="4" fillId="0" borderId="1" applyAlignment="1" pivotButton="0" quotePrefix="0" xfId="0">
      <alignment horizontal="center" vertical="center"/>
    </xf>
    <xf numFmtId="3" fontId="4" fillId="0" borderId="1" applyAlignment="1" pivotButton="0" quotePrefix="0" xfId="0">
      <alignment horizontal="right" vertical="center"/>
    </xf>
    <xf numFmtId="3" fontId="4" fillId="0" borderId="1" applyAlignment="1" pivotButton="0" quotePrefix="0" xfId="0">
      <alignment horizontal="left" vertical="center"/>
    </xf>
    <xf numFmtId="164" fontId="4" fillId="0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1" fontId="4" fillId="3" borderId="1" applyAlignment="1" pivotButton="0" quotePrefix="0" xfId="0">
      <alignment horizontal="center" vertical="center"/>
    </xf>
    <xf numFmtId="3" fontId="4" fillId="3" borderId="1" applyAlignment="1" pivotButton="0" quotePrefix="0" xfId="0">
      <alignment horizontal="right" vertical="center"/>
    </xf>
    <xf numFmtId="3" fontId="4" fillId="3" borderId="1" applyAlignment="1" pivotButton="0" quotePrefix="0" xfId="0">
      <alignment horizontal="left" vertical="center"/>
    </xf>
    <xf numFmtId="164" fontId="4" fillId="3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/>
    </xf>
    <xf numFmtId="3" fontId="5" fillId="4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10" fontId="5" fillId="5" borderId="1" applyAlignment="1" pivotButton="0" quotePrefix="0" xfId="0">
      <alignment horizontal="right" vertical="center"/>
    </xf>
    <xf numFmtId="3" fontId="5" fillId="5" borderId="1" applyAlignment="1" pivotButton="0" quotePrefix="0" xfId="0">
      <alignment horizontal="right" vertical="center"/>
    </xf>
    <xf numFmtId="2" fontId="5" fillId="5" borderId="1" applyAlignment="1" pivotButton="0" quotePrefix="0" xfId="0">
      <alignment horizontal="right" vertical="center"/>
    </xf>
    <xf numFmtId="165" fontId="4" fillId="3" borderId="1" applyAlignment="1" pivotButton="0" quotePrefix="0" xfId="0">
      <alignment horizontal="right" vertical="center"/>
    </xf>
    <xf numFmtId="165" fontId="4" fillId="0" borderId="1" applyAlignment="1" pivotButton="0" quotePrefix="0" xfId="0">
      <alignment horizontal="left" vertical="center"/>
    </xf>
    <xf numFmtId="166" fontId="4" fillId="0" borderId="1" applyAlignment="1" pivotButton="0" quotePrefix="0" xfId="0">
      <alignment horizontal="left" vertical="center"/>
    </xf>
    <xf numFmtId="4" fontId="4" fillId="0" borderId="1" applyAlignment="1" pivotButton="0" quotePrefix="0" xfId="0">
      <alignment horizontal="left" vertical="center"/>
    </xf>
    <xf numFmtId="165" fontId="4" fillId="3" borderId="1" applyAlignment="1" pivotButton="0" quotePrefix="0" xfId="0">
      <alignment horizontal="left" vertical="center"/>
    </xf>
    <xf numFmtId="166" fontId="4" fillId="3" borderId="1" applyAlignment="1" pivotButton="0" quotePrefix="0" xfId="0">
      <alignment horizontal="left" vertical="center"/>
    </xf>
    <xf numFmtId="4" fontId="4" fillId="3" borderId="1" applyAlignment="1" pivotButton="0" quotePrefix="0" xfId="0">
      <alignment horizontal="left" vertical="center"/>
    </xf>
    <xf numFmtId="1" fontId="5" fillId="4" borderId="1" applyAlignment="1" pivotButton="0" quotePrefix="0" xfId="0">
      <alignment horizontal="left" vertical="center"/>
    </xf>
    <xf numFmtId="165" fontId="5" fillId="4" borderId="1" applyAlignment="1" pivotButton="0" quotePrefix="0" xfId="0">
      <alignment horizontal="left" vertical="center"/>
    </xf>
    <xf numFmtId="166" fontId="5" fillId="4" borderId="1" applyAlignment="1" pivotButton="0" quotePrefix="0" xfId="0">
      <alignment horizontal="left" vertical="center"/>
    </xf>
    <xf numFmtId="164" fontId="5" fillId="4" borderId="1" applyAlignment="1" pivotButton="0" quotePrefix="0" xfId="0">
      <alignment horizontal="left" vertical="center"/>
    </xf>
    <xf numFmtId="4" fontId="5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20" customWidth="1" min="3" max="3"/>
    <col width="8" customWidth="1" min="4" max="4"/>
    <col width="12" customWidth="1" min="5" max="5"/>
    <col width="12" customWidth="1" min="6" max="6"/>
    <col width="12" customWidth="1" min="7" max="7"/>
    <col width="16" customWidth="1" min="8" max="8"/>
    <col width="11" customWidth="1" min="9" max="9"/>
    <col width="12" customWidth="1" min="10" max="10"/>
    <col width="16" customWidth="1" min="11" max="11"/>
  </cols>
  <sheetData>
    <row r="1">
      <c r="A1" s="1" t="inlineStr">
        <is>
          <t>S56（奇瑞 S56_X3 / S56_X3L）吸音棉 年需求汇总</t>
        </is>
      </c>
    </row>
    <row r="2">
      <c r="A2" s="2" t="inlineStr">
        <is>
          <t>客户：浙江凯华（凯华汽车科技(安徽)有限公司，芜湖南陵）｜主机厂：奇瑞｜定点 2026-09-16｜年产量 50,000 套/年｜EOP 2029.12｜材料：PP/PET 吸音棉 350g/㎡ × 20mm，幅宽 1200mm</t>
        </is>
      </c>
    </row>
    <row r="4" ht="32" customHeight="1">
      <c r="A4" s="3" t="inlineStr">
        <is>
          <t>序号</t>
        </is>
      </c>
      <c r="B4" s="3" t="inlineStr">
        <is>
          <t>零件名称（官方）</t>
        </is>
      </c>
      <c r="C4" s="3" t="inlineStr">
        <is>
          <t>物料号（18位）</t>
        </is>
      </c>
      <c r="D4" s="3" t="inlineStr">
        <is>
          <t>单车用量</t>
        </is>
      </c>
      <c r="E4" s="3" t="inlineStr">
        <is>
          <t>年量（件）</t>
        </is>
      </c>
      <c r="F4" s="3" t="inlineStr">
        <is>
          <t>月均（件）</t>
        </is>
      </c>
      <c r="G4" s="3" t="inlineStr">
        <is>
          <t>季均（件）</t>
        </is>
      </c>
      <c r="H4" s="3" t="inlineStr">
        <is>
          <t>首单PO4500127228（件）</t>
        </is>
      </c>
      <c r="I4" s="3" t="inlineStr">
        <is>
          <t>首单占年量</t>
        </is>
      </c>
      <c r="J4" s="3" t="inlineStr">
        <is>
          <t>是否已下单</t>
        </is>
      </c>
      <c r="K4" s="3" t="inlineStr">
        <is>
          <t>状态</t>
        </is>
      </c>
    </row>
    <row r="5">
      <c r="A5" s="4" t="n">
        <v>1</v>
      </c>
      <c r="B5" s="5" t="inlineStr">
        <is>
          <t>S56_X3L_右C下吸音棉4</t>
        </is>
      </c>
      <c r="C5" s="5" t="inlineStr">
        <is>
          <t>510000000000013898</t>
        </is>
      </c>
      <c r="D5" s="6" t="n">
        <v>1</v>
      </c>
      <c r="E5" s="7" t="n">
        <v>50000</v>
      </c>
      <c r="F5" s="8">
        <f>E5/12</f>
        <v/>
      </c>
      <c r="G5" s="8">
        <f>E5/4</f>
        <v/>
      </c>
      <c r="H5" s="7" t="n">
        <v>2120</v>
      </c>
      <c r="I5" s="9">
        <f>IF(E5=0,"",H5/E5)</f>
        <v/>
      </c>
      <c r="J5" s="4" t="inlineStr">
        <is>
          <t>是</t>
        </is>
      </c>
      <c r="K5" s="5" t="inlineStr">
        <is>
          <t>🟢 首单已下</t>
        </is>
      </c>
    </row>
    <row r="6">
      <c r="A6" s="4" t="n">
        <v>2</v>
      </c>
      <c r="B6" s="5" t="inlineStr">
        <is>
          <t>S56_X3_C上吸音棉1</t>
        </is>
      </c>
      <c r="C6" s="5" t="inlineStr">
        <is>
          <t>510000000000012724</t>
        </is>
      </c>
      <c r="D6" s="6" t="n">
        <v>1</v>
      </c>
      <c r="E6" s="7" t="n">
        <v>50000</v>
      </c>
      <c r="F6" s="8">
        <f>E6/12</f>
        <v/>
      </c>
      <c r="G6" s="8">
        <f>E6/4</f>
        <v/>
      </c>
      <c r="H6" s="7" t="n">
        <v>0</v>
      </c>
      <c r="I6" s="9">
        <f>IF(E6=0,"",H6/E6)</f>
        <v/>
      </c>
      <c r="J6" s="4" t="inlineStr">
        <is>
          <t>否</t>
        </is>
      </c>
      <c r="K6" s="5" t="inlineStr">
        <is>
          <t>⚪ 待下单</t>
        </is>
      </c>
    </row>
    <row r="7">
      <c r="A7" s="4" t="n">
        <v>3</v>
      </c>
      <c r="B7" s="5" t="inlineStr">
        <is>
          <t>S56_X3_C上吸音棉2</t>
        </is>
      </c>
      <c r="C7" s="5" t="inlineStr">
        <is>
          <t>510000000000012725</t>
        </is>
      </c>
      <c r="D7" s="6" t="n">
        <v>1</v>
      </c>
      <c r="E7" s="7" t="n">
        <v>50000</v>
      </c>
      <c r="F7" s="8">
        <f>E7/12</f>
        <v/>
      </c>
      <c r="G7" s="8">
        <f>E7/4</f>
        <v/>
      </c>
      <c r="H7" s="7" t="n">
        <v>0</v>
      </c>
      <c r="I7" s="9">
        <f>IF(E7=0,"",H7/E7)</f>
        <v/>
      </c>
      <c r="J7" s="4" t="inlineStr">
        <is>
          <t>否</t>
        </is>
      </c>
      <c r="K7" s="5" t="inlineStr">
        <is>
          <t>⚪ 待下单</t>
        </is>
      </c>
    </row>
    <row r="8">
      <c r="A8" s="4" t="n">
        <v>4</v>
      </c>
      <c r="B8" s="5" t="inlineStr">
        <is>
          <t>S56_X3_左下吸音棉3</t>
        </is>
      </c>
      <c r="C8" s="5" t="inlineStr">
        <is>
          <t>510000000000012721</t>
        </is>
      </c>
      <c r="D8" s="6" t="n">
        <v>1</v>
      </c>
      <c r="E8" s="7" t="n">
        <v>50000</v>
      </c>
      <c r="F8" s="8">
        <f>E8/12</f>
        <v/>
      </c>
      <c r="G8" s="8">
        <f>E8/4</f>
        <v/>
      </c>
      <c r="H8" s="7" t="n">
        <v>0</v>
      </c>
      <c r="I8" s="9">
        <f>IF(E8=0,"",H8/E8)</f>
        <v/>
      </c>
      <c r="J8" s="4" t="inlineStr">
        <is>
          <t>否</t>
        </is>
      </c>
      <c r="K8" s="5" t="inlineStr">
        <is>
          <t>⚪ 待下单</t>
        </is>
      </c>
    </row>
    <row r="9">
      <c r="A9" s="4" t="n">
        <v>5</v>
      </c>
      <c r="B9" s="5" t="inlineStr">
        <is>
          <t>S56_X3L_左C下吸音棉5</t>
        </is>
      </c>
      <c r="C9" s="5" t="inlineStr">
        <is>
          <t>510000000000013897</t>
        </is>
      </c>
      <c r="D9" s="6" t="n">
        <v>1</v>
      </c>
      <c r="E9" s="7" t="n">
        <v>50000</v>
      </c>
      <c r="F9" s="8">
        <f>E9/12</f>
        <v/>
      </c>
      <c r="G9" s="8">
        <f>E9/4</f>
        <v/>
      </c>
      <c r="H9" s="7" t="n">
        <v>1000</v>
      </c>
      <c r="I9" s="9">
        <f>IF(E9=0,"",H9/E9)</f>
        <v/>
      </c>
      <c r="J9" s="4" t="inlineStr">
        <is>
          <t>是</t>
        </is>
      </c>
      <c r="K9" s="5" t="inlineStr">
        <is>
          <t>🟢 首单已下</t>
        </is>
      </c>
    </row>
    <row r="10">
      <c r="A10" s="4" t="n">
        <v>6</v>
      </c>
      <c r="B10" s="5" t="inlineStr">
        <is>
          <t>S56_X3L_右C下吸音棉5</t>
        </is>
      </c>
      <c r="C10" s="5" t="inlineStr">
        <is>
          <t>510000000000013899</t>
        </is>
      </c>
      <c r="D10" s="6" t="n">
        <v>1</v>
      </c>
      <c r="E10" s="7" t="n">
        <v>50000</v>
      </c>
      <c r="F10" s="8">
        <f>E10/12</f>
        <v/>
      </c>
      <c r="G10" s="8">
        <f>E10/4</f>
        <v/>
      </c>
      <c r="H10" s="7" t="n">
        <v>2070</v>
      </c>
      <c r="I10" s="9">
        <f>IF(E10=0,"",H10/E10)</f>
        <v/>
      </c>
      <c r="J10" s="4" t="inlineStr">
        <is>
          <t>是</t>
        </is>
      </c>
      <c r="K10" s="5" t="inlineStr">
        <is>
          <t>🟢 首单已下</t>
        </is>
      </c>
    </row>
    <row r="11">
      <c r="A11" s="10" t="n">
        <v>7</v>
      </c>
      <c r="B11" s="11" t="inlineStr">
        <is>
          <t>S56_X3_B下吸音棉</t>
        </is>
      </c>
      <c r="C11" s="11" t="inlineStr">
        <is>
          <t>510000000000012723</t>
        </is>
      </c>
      <c r="D11" s="12" t="inlineStr">
        <is>
          <t>0（不生产）</t>
        </is>
      </c>
      <c r="E11" s="13" t="n">
        <v>0</v>
      </c>
      <c r="F11" s="13" t="n">
        <v>0</v>
      </c>
      <c r="G11" s="13" t="n">
        <v>0</v>
      </c>
      <c r="H11" s="14" t="inlineStr">
        <is>
          <t>—</t>
        </is>
      </c>
      <c r="I11" s="15" t="inlineStr">
        <is>
          <t>—</t>
        </is>
      </c>
      <c r="J11" s="10" t="inlineStr">
        <is>
          <t>否</t>
        </is>
      </c>
      <c r="K11" s="11" t="inlineStr">
        <is>
          <t>🛑 不生产</t>
        </is>
      </c>
    </row>
    <row r="12">
      <c r="A12" s="4" t="n">
        <v>8</v>
      </c>
      <c r="B12" s="5" t="inlineStr">
        <is>
          <t>S56_X3L_左C下吸音棉4</t>
        </is>
      </c>
      <c r="C12" s="5" t="inlineStr">
        <is>
          <t>510000000000013896</t>
        </is>
      </c>
      <c r="D12" s="6" t="n">
        <v>1</v>
      </c>
      <c r="E12" s="7" t="n">
        <v>50000</v>
      </c>
      <c r="F12" s="8">
        <f>E12/12</f>
        <v/>
      </c>
      <c r="G12" s="8">
        <f>E12/4</f>
        <v/>
      </c>
      <c r="H12" s="7" t="n">
        <v>1850</v>
      </c>
      <c r="I12" s="9">
        <f>IF(E12=0,"",H12/E12)</f>
        <v/>
      </c>
      <c r="J12" s="4" t="inlineStr">
        <is>
          <t>是</t>
        </is>
      </c>
      <c r="K12" s="5" t="inlineStr">
        <is>
          <t>🟢 首单已下</t>
        </is>
      </c>
    </row>
    <row r="13">
      <c r="A13" s="4" t="n">
        <v>9</v>
      </c>
      <c r="B13" s="5" t="inlineStr">
        <is>
          <t>S56_X3_吸音棉2</t>
        </is>
      </c>
      <c r="C13" s="5" t="inlineStr">
        <is>
          <t>510000000000012330</t>
        </is>
      </c>
      <c r="D13" s="6" t="n">
        <v>2</v>
      </c>
      <c r="E13" s="7" t="n">
        <v>100000</v>
      </c>
      <c r="F13" s="8">
        <f>E13/12</f>
        <v/>
      </c>
      <c r="G13" s="8">
        <f>E13/4</f>
        <v/>
      </c>
      <c r="H13" s="7" t="n">
        <v>5000</v>
      </c>
      <c r="I13" s="9">
        <f>IF(E13=0,"",H13/E13)</f>
        <v/>
      </c>
      <c r="J13" s="4" t="inlineStr">
        <is>
          <t>是</t>
        </is>
      </c>
      <c r="K13" s="5" t="inlineStr">
        <is>
          <t>🟢 首单已下</t>
        </is>
      </c>
    </row>
    <row r="14">
      <c r="A14" s="4" t="n">
        <v>10</v>
      </c>
      <c r="B14" s="5" t="inlineStr">
        <is>
          <t>S56_X3_C下吸音棉1</t>
        </is>
      </c>
      <c r="C14" s="5" t="inlineStr">
        <is>
          <t>510000000000012719</t>
        </is>
      </c>
      <c r="D14" s="6" t="n">
        <v>2</v>
      </c>
      <c r="E14" s="7" t="n">
        <v>100000</v>
      </c>
      <c r="F14" s="8">
        <f>E14/12</f>
        <v/>
      </c>
      <c r="G14" s="8">
        <f>E14/4</f>
        <v/>
      </c>
      <c r="H14" s="7" t="n">
        <v>0</v>
      </c>
      <c r="I14" s="9">
        <f>IF(E14=0,"",H14/E14)</f>
        <v/>
      </c>
      <c r="J14" s="4" t="inlineStr">
        <is>
          <t>否</t>
        </is>
      </c>
      <c r="K14" s="5" t="inlineStr">
        <is>
          <t>⚪ 待下单</t>
        </is>
      </c>
    </row>
    <row r="15">
      <c r="A15" s="4" t="n">
        <v>11</v>
      </c>
      <c r="B15" s="5" t="inlineStr">
        <is>
          <t>S56_X3_右下吸音棉2</t>
        </is>
      </c>
      <c r="C15" s="5" t="inlineStr">
        <is>
          <t>510000000000012727</t>
        </is>
      </c>
      <c r="D15" s="6" t="n">
        <v>1</v>
      </c>
      <c r="E15" s="7" t="n">
        <v>50000</v>
      </c>
      <c r="F15" s="8">
        <f>E15/12</f>
        <v/>
      </c>
      <c r="G15" s="8">
        <f>E15/4</f>
        <v/>
      </c>
      <c r="H15" s="7" t="n">
        <v>0</v>
      </c>
      <c r="I15" s="9">
        <f>IF(E15=0,"",H15/E15)</f>
        <v/>
      </c>
      <c r="J15" s="4" t="inlineStr">
        <is>
          <t>否</t>
        </is>
      </c>
      <c r="K15" s="5" t="inlineStr">
        <is>
          <t>⚪ 待下单</t>
        </is>
      </c>
    </row>
    <row r="16">
      <c r="A16" s="4" t="n">
        <v>12</v>
      </c>
      <c r="B16" s="5" t="inlineStr">
        <is>
          <t>S56_X3_03T吸音棉1</t>
        </is>
      </c>
      <c r="C16" s="5" t="inlineStr">
        <is>
          <t>510000000000012328</t>
        </is>
      </c>
      <c r="D16" s="6" t="n">
        <v>2</v>
      </c>
      <c r="E16" s="7" t="n">
        <v>100000</v>
      </c>
      <c r="F16" s="8">
        <f>E16/12</f>
        <v/>
      </c>
      <c r="G16" s="8">
        <f>E16/4</f>
        <v/>
      </c>
      <c r="H16" s="7" t="n">
        <v>0</v>
      </c>
      <c r="I16" s="9">
        <f>IF(E16=0,"",H16/E16)</f>
        <v/>
      </c>
      <c r="J16" s="4" t="inlineStr">
        <is>
          <t>否</t>
        </is>
      </c>
      <c r="K16" s="5" t="inlineStr">
        <is>
          <t>⚪ 待下单</t>
        </is>
      </c>
    </row>
    <row r="17">
      <c r="A17" s="4" t="n">
        <v>13</v>
      </c>
      <c r="B17" s="5" t="inlineStr">
        <is>
          <t>S56_X3_C上吸音棉3</t>
        </is>
      </c>
      <c r="C17" s="5" t="inlineStr">
        <is>
          <t>510000000000012726</t>
        </is>
      </c>
      <c r="D17" s="6" t="n">
        <v>1</v>
      </c>
      <c r="E17" s="7" t="n">
        <v>50000</v>
      </c>
      <c r="F17" s="8">
        <f>E17/12</f>
        <v/>
      </c>
      <c r="G17" s="8">
        <f>E17/4</f>
        <v/>
      </c>
      <c r="H17" s="7" t="n">
        <v>0</v>
      </c>
      <c r="I17" s="9">
        <f>IF(E17=0,"",H17/E17)</f>
        <v/>
      </c>
      <c r="J17" s="4" t="inlineStr">
        <is>
          <t>否</t>
        </is>
      </c>
      <c r="K17" s="5" t="inlineStr">
        <is>
          <t>⚪ 待下单</t>
        </is>
      </c>
    </row>
    <row r="18">
      <c r="A18" s="4" t="n">
        <v>14</v>
      </c>
      <c r="B18" s="5" t="inlineStr">
        <is>
          <t>S56_X3_左下吸音棉2</t>
        </is>
      </c>
      <c r="C18" s="5" t="inlineStr">
        <is>
          <t>510000000000012720</t>
        </is>
      </c>
      <c r="D18" s="6" t="n">
        <v>1</v>
      </c>
      <c r="E18" s="7" t="n">
        <v>50000</v>
      </c>
      <c r="F18" s="8">
        <f>E18/12</f>
        <v/>
      </c>
      <c r="G18" s="8">
        <f>E18/4</f>
        <v/>
      </c>
      <c r="H18" s="7" t="n">
        <v>0</v>
      </c>
      <c r="I18" s="9">
        <f>IF(E18=0,"",H18/E18)</f>
        <v/>
      </c>
      <c r="J18" s="4" t="inlineStr">
        <is>
          <t>否</t>
        </is>
      </c>
      <c r="K18" s="5" t="inlineStr">
        <is>
          <t>⚪ 待下单</t>
        </is>
      </c>
    </row>
    <row r="19">
      <c r="A19" s="16" t="n"/>
      <c r="B19" s="16" t="inlineStr">
        <is>
          <t>合计（13 个生产件 · 单车 16 件）</t>
        </is>
      </c>
      <c r="C19" s="16" t="n"/>
      <c r="D19" s="16" t="n"/>
      <c r="E19" s="17">
        <f>SUM(E5,E6,E7,E8,E9,E10,E12,E13,E14,E15,E16,E17,E18)</f>
        <v/>
      </c>
      <c r="F19" s="17">
        <f>SUM(F5,F6,F7,F8,F9,F10,F12,F13,F14,F15,F16,F17,F18)</f>
        <v/>
      </c>
      <c r="G19" s="17">
        <f>SUM(G5,G6,G7,G8,G9,G10,G12,G13,G14,G15,G16,G17,G18)</f>
        <v/>
      </c>
      <c r="H19" s="17">
        <f>SUM(H5,H6,H7,H8,H9,H10,H12,H13,H14,H15,H16,H17,H18)</f>
        <v/>
      </c>
      <c r="I19" s="16" t="n"/>
      <c r="J19" s="16" t="n"/>
      <c r="K19" s="16" t="n"/>
    </row>
    <row r="21">
      <c r="A21" t="inlineStr">
        <is>
          <t>月均 = 年量÷12；季均 = 年量÷4；实际以客户月度拉动计划为准（名义满产口径）。</t>
        </is>
      </c>
    </row>
    <row r="22">
      <c r="A22" t="inlineStr">
        <is>
          <t>首单 PO4500127228（2026-09-14）：7 行 / 6 个件号 / 12,040 件，单价全 0 待定价，交期 2026-09-25；51-13898 与 51-13899 各拆两行下单，送货对账按件号合并。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20" customWidth="1" min="3" max="3"/>
    <col width="8" customWidth="1" min="4" max="4"/>
    <col width="11" customWidth="1" min="5" max="5"/>
    <col width="11" customWidth="1" min="6" max="6"/>
    <col width="11" customWidth="1" min="7" max="7"/>
    <col width="11" customWidth="1" min="8" max="8"/>
    <col width="10" customWidth="1" min="9" max="9"/>
    <col width="8" customWidth="1" min="10" max="10"/>
    <col width="13" customWidth="1" min="11" max="11"/>
    <col width="13" customWidth="1" min="12" max="12"/>
    <col width="12" customWidth="1" min="13" max="13"/>
    <col width="10" customWidth="1" min="14" max="14"/>
  </cols>
  <sheetData>
    <row r="1">
      <c r="A1" s="1" t="inlineStr">
        <is>
          <t>S56 报价单（可改参数，全表自动重算）</t>
        </is>
      </c>
    </row>
    <row r="2">
      <c r="A2" s="18" t="inlineStr">
        <is>
          <t>目标毛利率 →</t>
        </is>
      </c>
      <c r="B2" s="19" t="n">
        <v>0.2231</v>
      </c>
      <c r="C2" t="inlineStr">
        <is>
          <t>← 改这个格子</t>
        </is>
      </c>
    </row>
    <row r="3">
      <c r="A3" s="18" t="inlineStr">
        <is>
          <t>年产量（套/年）→</t>
        </is>
      </c>
      <c r="B3" s="20" t="n">
        <v>50000</v>
      </c>
      <c r="C3" t="inlineStr">
        <is>
          <t>← 改这个格子（年量 = 单车用量 × 该值）</t>
        </is>
      </c>
    </row>
    <row r="4">
      <c r="A4" s="18" t="inlineStr">
        <is>
          <t>含税系数 →</t>
        </is>
      </c>
      <c r="B4" s="21" t="n">
        <v>1.13</v>
      </c>
      <c r="C4" t="inlineStr">
        <is>
          <t>含税 = 未税 × 1.13</t>
        </is>
      </c>
    </row>
    <row r="6">
      <c r="A6" s="2" t="inlineStr">
        <is>
          <t>口径：成本未税（含材料+加工+三项费用+运输+包装+模具摊销，来自 2026-09-18 成本表）；报价未税 = 成本 ÷ (1 − 目标毛利率)；整行灰底=不生产件</t>
        </is>
      </c>
    </row>
    <row r="8" ht="32" customHeight="1">
      <c r="A8" s="3" t="inlineStr">
        <is>
          <t>序号</t>
        </is>
      </c>
      <c r="B8" s="3" t="inlineStr">
        <is>
          <t>零件名称（官方）</t>
        </is>
      </c>
      <c r="C8" s="3" t="inlineStr">
        <is>
          <t>物料号（18位）</t>
        </is>
      </c>
      <c r="D8" s="3" t="inlineStr">
        <is>
          <t>单车用量</t>
        </is>
      </c>
      <c r="E8" s="3" t="inlineStr">
        <is>
          <t>年量（件）</t>
        </is>
      </c>
      <c r="F8" s="3" t="inlineStr">
        <is>
          <t>成本未税
(可改)</t>
        </is>
      </c>
      <c r="G8" s="3" t="inlineStr">
        <is>
          <t>报价未税</t>
        </is>
      </c>
      <c r="H8" s="3" t="inlineStr">
        <is>
          <t>报价含税</t>
        </is>
      </c>
      <c r="I8" s="3" t="inlineStr">
        <is>
          <t>单件净利</t>
        </is>
      </c>
      <c r="J8" s="3" t="inlineStr">
        <is>
          <t>毛利率</t>
        </is>
      </c>
      <c r="K8" s="3" t="inlineStr">
        <is>
          <t>年销售额
未税</t>
        </is>
      </c>
      <c r="L8" s="3" t="inlineStr">
        <is>
          <t>年销售额
含税</t>
        </is>
      </c>
      <c r="M8" s="3" t="inlineStr">
        <is>
          <t>年净利</t>
        </is>
      </c>
      <c r="N8" s="3" t="inlineStr">
        <is>
          <t>首单数量</t>
        </is>
      </c>
    </row>
    <row r="9">
      <c r="A9" s="4" t="n">
        <v>1</v>
      </c>
      <c r="B9" s="5" t="inlineStr">
        <is>
          <t>S56_X3L_右C下吸音棉4</t>
        </is>
      </c>
      <c r="C9" s="5" t="inlineStr">
        <is>
          <t>510000000000013898</t>
        </is>
      </c>
      <c r="D9" s="6" t="n">
        <v>1</v>
      </c>
      <c r="E9" s="8">
        <f>D9*$B$3</f>
        <v/>
      </c>
      <c r="F9" s="22" t="n">
        <v>2.546333</v>
      </c>
      <c r="G9" s="23">
        <f>F9/(1-$B$2)</f>
        <v/>
      </c>
      <c r="H9" s="24">
        <f>G9*$B$4</f>
        <v/>
      </c>
      <c r="I9" s="23">
        <f>G9-F9</f>
        <v/>
      </c>
      <c r="J9" s="9">
        <f>IF(G9=0,"",I9/G9)</f>
        <v/>
      </c>
      <c r="K9" s="25">
        <f>G9*E9</f>
        <v/>
      </c>
      <c r="L9" s="25">
        <f>H9*E9</f>
        <v/>
      </c>
      <c r="M9" s="25">
        <f>I9*E9</f>
        <v/>
      </c>
      <c r="N9" s="7" t="n">
        <v>2120</v>
      </c>
    </row>
    <row r="10">
      <c r="A10" s="4" t="n">
        <v>2</v>
      </c>
      <c r="B10" s="5" t="inlineStr">
        <is>
          <t>S56_X3_C上吸音棉1</t>
        </is>
      </c>
      <c r="C10" s="5" t="inlineStr">
        <is>
          <t>510000000000012724</t>
        </is>
      </c>
      <c r="D10" s="6" t="n">
        <v>1</v>
      </c>
      <c r="E10" s="8">
        <f>D10*$B$3</f>
        <v/>
      </c>
      <c r="F10" s="22" t="n">
        <v>0.223772</v>
      </c>
      <c r="G10" s="23">
        <f>F10/(1-$B$2)</f>
        <v/>
      </c>
      <c r="H10" s="24">
        <f>G10*$B$4</f>
        <v/>
      </c>
      <c r="I10" s="23">
        <f>G10-F10</f>
        <v/>
      </c>
      <c r="J10" s="9">
        <f>IF(G10=0,"",I10/G10)</f>
        <v/>
      </c>
      <c r="K10" s="25">
        <f>G10*E10</f>
        <v/>
      </c>
      <c r="L10" s="25">
        <f>H10*E10</f>
        <v/>
      </c>
      <c r="M10" s="25">
        <f>I10*E10</f>
        <v/>
      </c>
      <c r="N10" s="7" t="n">
        <v>0</v>
      </c>
    </row>
    <row r="11">
      <c r="A11" s="4" t="n">
        <v>3</v>
      </c>
      <c r="B11" s="5" t="inlineStr">
        <is>
          <t>S56_X3_C上吸音棉2</t>
        </is>
      </c>
      <c r="C11" s="5" t="inlineStr">
        <is>
          <t>510000000000012725</t>
        </is>
      </c>
      <c r="D11" s="6" t="n">
        <v>1</v>
      </c>
      <c r="E11" s="8">
        <f>D11*$B$3</f>
        <v/>
      </c>
      <c r="F11" s="22" t="n">
        <v>0.356353</v>
      </c>
      <c r="G11" s="23">
        <f>F11/(1-$B$2)</f>
        <v/>
      </c>
      <c r="H11" s="24">
        <f>G11*$B$4</f>
        <v/>
      </c>
      <c r="I11" s="23">
        <f>G11-F11</f>
        <v/>
      </c>
      <c r="J11" s="9">
        <f>IF(G11=0,"",I11/G11)</f>
        <v/>
      </c>
      <c r="K11" s="25">
        <f>G11*E11</f>
        <v/>
      </c>
      <c r="L11" s="25">
        <f>H11*E11</f>
        <v/>
      </c>
      <c r="M11" s="25">
        <f>I11*E11</f>
        <v/>
      </c>
      <c r="N11" s="7" t="n">
        <v>0</v>
      </c>
    </row>
    <row r="12">
      <c r="A12" s="4" t="n">
        <v>4</v>
      </c>
      <c r="B12" s="5" t="inlineStr">
        <is>
          <t>S56_X3_左下吸音棉3</t>
        </is>
      </c>
      <c r="C12" s="5" t="inlineStr">
        <is>
          <t>510000000000012721</t>
        </is>
      </c>
      <c r="D12" s="6" t="n">
        <v>1</v>
      </c>
      <c r="E12" s="8">
        <f>D12*$B$3</f>
        <v/>
      </c>
      <c r="F12" s="22" t="n">
        <v>1.039679</v>
      </c>
      <c r="G12" s="23">
        <f>F12/(1-$B$2)</f>
        <v/>
      </c>
      <c r="H12" s="24">
        <f>G12*$B$4</f>
        <v/>
      </c>
      <c r="I12" s="23">
        <f>G12-F12</f>
        <v/>
      </c>
      <c r="J12" s="9">
        <f>IF(G12=0,"",I12/G12)</f>
        <v/>
      </c>
      <c r="K12" s="25">
        <f>G12*E12</f>
        <v/>
      </c>
      <c r="L12" s="25">
        <f>H12*E12</f>
        <v/>
      </c>
      <c r="M12" s="25">
        <f>I12*E12</f>
        <v/>
      </c>
      <c r="N12" s="7" t="n">
        <v>0</v>
      </c>
    </row>
    <row r="13">
      <c r="A13" s="4" t="n">
        <v>5</v>
      </c>
      <c r="B13" s="5" t="inlineStr">
        <is>
          <t>S56_X3L_左C下吸音棉5</t>
        </is>
      </c>
      <c r="C13" s="5" t="inlineStr">
        <is>
          <t>510000000000013897</t>
        </is>
      </c>
      <c r="D13" s="6" t="n">
        <v>1</v>
      </c>
      <c r="E13" s="8">
        <f>D13*$B$3</f>
        <v/>
      </c>
      <c r="F13" s="22" t="n">
        <v>1.59117</v>
      </c>
      <c r="G13" s="23">
        <f>F13/(1-$B$2)</f>
        <v/>
      </c>
      <c r="H13" s="24">
        <f>G13*$B$4</f>
        <v/>
      </c>
      <c r="I13" s="23">
        <f>G13-F13</f>
        <v/>
      </c>
      <c r="J13" s="9">
        <f>IF(G13=0,"",I13/G13)</f>
        <v/>
      </c>
      <c r="K13" s="25">
        <f>G13*E13</f>
        <v/>
      </c>
      <c r="L13" s="25">
        <f>H13*E13</f>
        <v/>
      </c>
      <c r="M13" s="25">
        <f>I13*E13</f>
        <v/>
      </c>
      <c r="N13" s="7" t="n">
        <v>1000</v>
      </c>
    </row>
    <row r="14">
      <c r="A14" s="4" t="n">
        <v>6</v>
      </c>
      <c r="B14" s="5" t="inlineStr">
        <is>
          <t>S56_X3L_右C下吸音棉5</t>
        </is>
      </c>
      <c r="C14" s="5" t="inlineStr">
        <is>
          <t>510000000000013899</t>
        </is>
      </c>
      <c r="D14" s="6" t="n">
        <v>1</v>
      </c>
      <c r="E14" s="8">
        <f>D14*$B$3</f>
        <v/>
      </c>
      <c r="F14" s="22" t="n">
        <v>1.495725</v>
      </c>
      <c r="G14" s="23">
        <f>F14/(1-$B$2)</f>
        <v/>
      </c>
      <c r="H14" s="24">
        <f>G14*$B$4</f>
        <v/>
      </c>
      <c r="I14" s="23">
        <f>G14-F14</f>
        <v/>
      </c>
      <c r="J14" s="9">
        <f>IF(G14=0,"",I14/G14)</f>
        <v/>
      </c>
      <c r="K14" s="25">
        <f>G14*E14</f>
        <v/>
      </c>
      <c r="L14" s="25">
        <f>H14*E14</f>
        <v/>
      </c>
      <c r="M14" s="25">
        <f>I14*E14</f>
        <v/>
      </c>
      <c r="N14" s="7" t="n">
        <v>2070</v>
      </c>
    </row>
    <row r="15">
      <c r="A15" s="10" t="n">
        <v>7</v>
      </c>
      <c r="B15" s="11" t="inlineStr">
        <is>
          <t>S56_X3_B下吸音棉</t>
        </is>
      </c>
      <c r="C15" s="11" t="inlineStr">
        <is>
          <t>510000000000012723</t>
        </is>
      </c>
      <c r="D15" s="12" t="inlineStr">
        <is>
          <t>0（不生产）</t>
        </is>
      </c>
      <c r="E15" s="13" t="n">
        <v>0</v>
      </c>
      <c r="F15" s="22" t="n">
        <v>0</v>
      </c>
      <c r="G15" s="26" t="inlineStr">
        <is>
          <t>—</t>
        </is>
      </c>
      <c r="H15" s="27" t="inlineStr">
        <is>
          <t>—</t>
        </is>
      </c>
      <c r="I15" s="26" t="inlineStr">
        <is>
          <t>—</t>
        </is>
      </c>
      <c r="J15" s="15" t="inlineStr">
        <is>
          <t>—</t>
        </is>
      </c>
      <c r="K15" s="28" t="inlineStr">
        <is>
          <t>—</t>
        </is>
      </c>
      <c r="L15" s="28" t="inlineStr">
        <is>
          <t>—</t>
        </is>
      </c>
      <c r="M15" s="28" t="inlineStr">
        <is>
          <t>—</t>
        </is>
      </c>
      <c r="N15" s="13" t="n">
        <v>0</v>
      </c>
    </row>
    <row r="16">
      <c r="A16" s="4" t="n">
        <v>8</v>
      </c>
      <c r="B16" s="5" t="inlineStr">
        <is>
          <t>S56_X3L_左C下吸音棉4</t>
        </is>
      </c>
      <c r="C16" s="5" t="inlineStr">
        <is>
          <t>510000000000013896</t>
        </is>
      </c>
      <c r="D16" s="6" t="n">
        <v>1</v>
      </c>
      <c r="E16" s="8">
        <f>D16*$B$3</f>
        <v/>
      </c>
      <c r="F16" s="22" t="n">
        <v>2.261821</v>
      </c>
      <c r="G16" s="23">
        <f>F16/(1-$B$2)</f>
        <v/>
      </c>
      <c r="H16" s="24">
        <f>G16*$B$4</f>
        <v/>
      </c>
      <c r="I16" s="23">
        <f>G16-F16</f>
        <v/>
      </c>
      <c r="J16" s="9">
        <f>IF(G16=0,"",I16/G16)</f>
        <v/>
      </c>
      <c r="K16" s="25">
        <f>G16*E16</f>
        <v/>
      </c>
      <c r="L16" s="25">
        <f>H16*E16</f>
        <v/>
      </c>
      <c r="M16" s="25">
        <f>I16*E16</f>
        <v/>
      </c>
      <c r="N16" s="7" t="n">
        <v>1850</v>
      </c>
    </row>
    <row r="17">
      <c r="A17" s="4" t="n">
        <v>9</v>
      </c>
      <c r="B17" s="5" t="inlineStr">
        <is>
          <t>S56_X3_吸音棉2</t>
        </is>
      </c>
      <c r="C17" s="5" t="inlineStr">
        <is>
          <t>510000000000012330</t>
        </is>
      </c>
      <c r="D17" s="6" t="n">
        <v>2</v>
      </c>
      <c r="E17" s="8">
        <f>D17*$B$3</f>
        <v/>
      </c>
      <c r="F17" s="22" t="n">
        <v>0.432204</v>
      </c>
      <c r="G17" s="23">
        <f>F17/(1-$B$2)</f>
        <v/>
      </c>
      <c r="H17" s="24">
        <f>G17*$B$4</f>
        <v/>
      </c>
      <c r="I17" s="23">
        <f>G17-F17</f>
        <v/>
      </c>
      <c r="J17" s="9">
        <f>IF(G17=0,"",I17/G17)</f>
        <v/>
      </c>
      <c r="K17" s="25">
        <f>G17*E17</f>
        <v/>
      </c>
      <c r="L17" s="25">
        <f>H17*E17</f>
        <v/>
      </c>
      <c r="M17" s="25">
        <f>I17*E17</f>
        <v/>
      </c>
      <c r="N17" s="7" t="n">
        <v>5000</v>
      </c>
    </row>
    <row r="18">
      <c r="A18" s="4" t="n">
        <v>10</v>
      </c>
      <c r="B18" s="5" t="inlineStr">
        <is>
          <t>S56_X3_C下吸音棉1</t>
        </is>
      </c>
      <c r="C18" s="5" t="inlineStr">
        <is>
          <t>510000000000012719</t>
        </is>
      </c>
      <c r="D18" s="6" t="n">
        <v>2</v>
      </c>
      <c r="E18" s="8">
        <f>D18*$B$3</f>
        <v/>
      </c>
      <c r="F18" s="22" t="n">
        <v>0.260731</v>
      </c>
      <c r="G18" s="23">
        <f>F18/(1-$B$2)</f>
        <v/>
      </c>
      <c r="H18" s="24">
        <f>G18*$B$4</f>
        <v/>
      </c>
      <c r="I18" s="23">
        <f>G18-F18</f>
        <v/>
      </c>
      <c r="J18" s="9">
        <f>IF(G18=0,"",I18/G18)</f>
        <v/>
      </c>
      <c r="K18" s="25">
        <f>G18*E18</f>
        <v/>
      </c>
      <c r="L18" s="25">
        <f>H18*E18</f>
        <v/>
      </c>
      <c r="M18" s="25">
        <f>I18*E18</f>
        <v/>
      </c>
      <c r="N18" s="7" t="n">
        <v>0</v>
      </c>
    </row>
    <row r="19">
      <c r="A19" s="4" t="n">
        <v>11</v>
      </c>
      <c r="B19" s="5" t="inlineStr">
        <is>
          <t>S56_X3_右下吸音棉2</t>
        </is>
      </c>
      <c r="C19" s="5" t="inlineStr">
        <is>
          <t>510000000000012727</t>
        </is>
      </c>
      <c r="D19" s="6" t="n">
        <v>1</v>
      </c>
      <c r="E19" s="8">
        <f>D19*$B$3</f>
        <v/>
      </c>
      <c r="F19" s="22" t="n">
        <v>1.396281</v>
      </c>
      <c r="G19" s="23">
        <f>F19/(1-$B$2)</f>
        <v/>
      </c>
      <c r="H19" s="24">
        <f>G19*$B$4</f>
        <v/>
      </c>
      <c r="I19" s="23">
        <f>G19-F19</f>
        <v/>
      </c>
      <c r="J19" s="9">
        <f>IF(G19=0,"",I19/G19)</f>
        <v/>
      </c>
      <c r="K19" s="25">
        <f>G19*E19</f>
        <v/>
      </c>
      <c r="L19" s="25">
        <f>H19*E19</f>
        <v/>
      </c>
      <c r="M19" s="25">
        <f>I19*E19</f>
        <v/>
      </c>
      <c r="N19" s="7" t="n">
        <v>0</v>
      </c>
    </row>
    <row r="20">
      <c r="A20" s="4" t="n">
        <v>12</v>
      </c>
      <c r="B20" s="5" t="inlineStr">
        <is>
          <t>S56_X3_03T吸音棉1</t>
        </is>
      </c>
      <c r="C20" s="5" t="inlineStr">
        <is>
          <t>510000000000012328</t>
        </is>
      </c>
      <c r="D20" s="6" t="n">
        <v>2</v>
      </c>
      <c r="E20" s="8">
        <f>D20*$B$3</f>
        <v/>
      </c>
      <c r="F20" s="22" t="n">
        <v>0.275851</v>
      </c>
      <c r="G20" s="23">
        <f>F20/(1-$B$2)</f>
        <v/>
      </c>
      <c r="H20" s="24">
        <f>G20*$B$4</f>
        <v/>
      </c>
      <c r="I20" s="23">
        <f>G20-F20</f>
        <v/>
      </c>
      <c r="J20" s="9">
        <f>IF(G20=0,"",I20/G20)</f>
        <v/>
      </c>
      <c r="K20" s="25">
        <f>G20*E20</f>
        <v/>
      </c>
      <c r="L20" s="25">
        <f>H20*E20</f>
        <v/>
      </c>
      <c r="M20" s="25">
        <f>I20*E20</f>
        <v/>
      </c>
      <c r="N20" s="7" t="n">
        <v>0</v>
      </c>
    </row>
    <row r="21">
      <c r="A21" s="4" t="n">
        <v>13</v>
      </c>
      <c r="B21" s="5" t="inlineStr">
        <is>
          <t>S56_X3_C上吸音棉3</t>
        </is>
      </c>
      <c r="C21" s="5" t="inlineStr">
        <is>
          <t>510000000000012726</t>
        </is>
      </c>
      <c r="D21" s="6" t="n">
        <v>1</v>
      </c>
      <c r="E21" s="8">
        <f>D21*$B$3</f>
        <v/>
      </c>
      <c r="F21" s="22" t="n">
        <v>0.20532</v>
      </c>
      <c r="G21" s="23">
        <f>F21/(1-$B$2)</f>
        <v/>
      </c>
      <c r="H21" s="24">
        <f>G21*$B$4</f>
        <v/>
      </c>
      <c r="I21" s="23">
        <f>G21-F21</f>
        <v/>
      </c>
      <c r="J21" s="9">
        <f>IF(G21=0,"",I21/G21)</f>
        <v/>
      </c>
      <c r="K21" s="25">
        <f>G21*E21</f>
        <v/>
      </c>
      <c r="L21" s="25">
        <f>H21*E21</f>
        <v/>
      </c>
      <c r="M21" s="25">
        <f>I21*E21</f>
        <v/>
      </c>
      <c r="N21" s="7" t="n">
        <v>0</v>
      </c>
    </row>
    <row r="22">
      <c r="A22" s="4" t="n">
        <v>14</v>
      </c>
      <c r="B22" s="5" t="inlineStr">
        <is>
          <t>S56_X3_左下吸音棉2</t>
        </is>
      </c>
      <c r="C22" s="5" t="inlineStr">
        <is>
          <t>510000000000012720</t>
        </is>
      </c>
      <c r="D22" s="6" t="n">
        <v>1</v>
      </c>
      <c r="E22" s="8">
        <f>D22*$B$3</f>
        <v/>
      </c>
      <c r="F22" s="22" t="n">
        <v>0.877915</v>
      </c>
      <c r="G22" s="23">
        <f>F22/(1-$B$2)</f>
        <v/>
      </c>
      <c r="H22" s="24">
        <f>G22*$B$4</f>
        <v/>
      </c>
      <c r="I22" s="23">
        <f>G22-F22</f>
        <v/>
      </c>
      <c r="J22" s="9">
        <f>IF(G22=0,"",I22/G22)</f>
        <v/>
      </c>
      <c r="K22" s="25">
        <f>G22*E22</f>
        <v/>
      </c>
      <c r="L22" s="25">
        <f>H22*E22</f>
        <v/>
      </c>
      <c r="M22" s="25">
        <f>I22*E22</f>
        <v/>
      </c>
      <c r="N22" s="7" t="n">
        <v>0</v>
      </c>
    </row>
    <row r="23">
      <c r="A23" s="16" t="n"/>
      <c r="B23" s="16" t="inlineStr">
        <is>
          <t>合计（13 个生产件 · 单车 16 件）</t>
        </is>
      </c>
      <c r="C23" s="16" t="n"/>
      <c r="D23" s="29">
        <f>SUM(D9,D10,D11,D12,D13,D14,D16,D17,D18,D19,D20,D21,D22)</f>
        <v/>
      </c>
      <c r="E23" s="17">
        <f>SUM(E9,E10,E11,E12,E13,E14,E16,E17,E18,E19,E20,E21,E22)</f>
        <v/>
      </c>
      <c r="F23" s="30">
        <f>SUMPRODUCT(F9*D9,F10*D10,F11*D11,F12*D12,F13*D13,F14*D14,F16*D16,F17*D17,F18*D18,F19*D19,F20*D20,F21*D21,F22*D22)</f>
        <v/>
      </c>
      <c r="G23" s="30">
        <f>F23/D23</f>
        <v/>
      </c>
      <c r="H23" s="31">
        <f>G23*$B$4</f>
        <v/>
      </c>
      <c r="I23" s="30">
        <f>G23-F23</f>
        <v/>
      </c>
      <c r="J23" s="32">
        <f>IF(G23=0,"",I23/G23)</f>
        <v/>
      </c>
      <c r="K23" s="33">
        <f>SUM(K9,K10,K11,K12,K13,K14,K16,K17,K18,K19,K20,K21,K22)</f>
        <v/>
      </c>
      <c r="L23" s="33">
        <f>SUM(L9,L10,L11,L12,L13,L14,L16,L17,L18,L19,L20,L21,L22)</f>
        <v/>
      </c>
      <c r="M23" s="33">
        <f>SUM(M9,M10,M11,M12,M13,M14,M16,M17,M18,M19,M20,M21,M22)</f>
        <v/>
      </c>
      <c r="N23" s="17">
        <f>SUM(N9,N10,N11,N12,N13,N14,N16,N17,N18,N19,N20,N21,N22)</f>
        <v/>
      </c>
    </row>
    <row r="25">
      <c r="A25" t="inlineStr">
        <is>
          <t>说明：把目标毛利率填几档（如 15% / 20% / 22.31% / 25% / 30%）就能直接看年净利——22.31% 对应年净利 20 万（套成本 ¥13.9319 + 套净利 ¥4.00）。</t>
        </is>
      </c>
    </row>
    <row r="26">
      <c r="A26" t="inlineStr">
        <is>
          <t>F 列（成本未税）是唯一的输入列，改成新成本表数字后，右边报价/毛利/年额全部自动更新。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2026-09-18T05:55:36Z</dcterms:created>
  <dcterms:modified xmlns:dcterms="http://purl.org/dc/terms/" xmlns:xsi="http://www.w3.org/2001/XMLSchema-instance" xsi:type="dcterms:W3CDTF">2026-09-18T05:55:36Z</dcterms:modified>
</cp:coreProperties>
</file>
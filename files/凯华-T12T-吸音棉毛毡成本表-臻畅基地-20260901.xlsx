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ling\Desktop\浙江凯华  T12T 立柱吸音棉及毛毡\"/>
    </mc:Choice>
  </mc:AlternateContent>
  <bookViews>
    <workbookView windowWidth="28800" windowHeight="12420" tabRatio="693"/>
  </bookViews>
  <sheets>
    <sheet name="成本" sheetId="1" r:id="rId1"/>
    <sheet name="BOM" sheetId="2" r:id="rId2"/>
    <sheet name="工序工时" sheetId="3" r:id="rId3"/>
    <sheet name="模检具" sheetId="5" r:id="rId4"/>
    <sheet name="物流包装" sheetId="9" r:id="rId5"/>
    <sheet name="实验费" sheetId="13" r:id="rId6"/>
  </sheets>
  <definedNames>
    <definedName name="_xlnm._FilterDatabase" localSheetId="0" hidden="1">成本!$A$2:$AD$13</definedName>
    <definedName name="_xlnm._FilterDatabase" localSheetId="1" hidden="1">BOM!$A$1:$M$59</definedName>
    <definedName name="_xlnm._FilterDatabase" localSheetId="2" hidden="1">工序工时!$A$2:$AC$13</definedName>
    <definedName name="_xlnm._FilterDatabase" localSheetId="3" hidden="1">模检具!$A$1:$V$12</definedName>
    <definedName name="_xlnm._FilterDatabase" localSheetId="4" hidden="1">物流包装!$A$2:$AA$13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gaoling</author>
  </authors>
  <commentList>
    <comment ref="H3" authorId="0">
      <text>
        <r>
          <rPr>
            <sz val="9"/>
            <rFont val="宋体"/>
            <charset val="134"/>
          </rPr>
          <t>托盘2年寿命
预估价格</t>
        </r>
      </text>
    </comment>
    <comment ref="AA3" authorId="0">
      <text>
        <r>
          <rPr>
            <sz val="9"/>
            <rFont val="宋体"/>
            <charset val="134"/>
          </rPr>
          <t xml:space="preserve">预估价
</t>
        </r>
      </text>
    </comment>
  </commentList>
</comments>
</file>

<file path=xl/sharedStrings.xml><?xml version="1.0" encoding="utf-8"?>
<sst xmlns="http://schemas.openxmlformats.org/spreadsheetml/2006/main" count="459" uniqueCount="119">
  <si>
    <t>日期</t>
  </si>
  <si>
    <t>项目编号</t>
  </si>
  <si>
    <t>客户</t>
  </si>
  <si>
    <t>项目经理</t>
  </si>
  <si>
    <t>目的地</t>
  </si>
  <si>
    <t>年量纲</t>
  </si>
  <si>
    <t>生命周期</t>
  </si>
  <si>
    <t>配送方式</t>
  </si>
  <si>
    <t>类别</t>
  </si>
  <si>
    <t>材料分类</t>
  </si>
  <si>
    <t>名称</t>
  </si>
  <si>
    <t>零件号</t>
  </si>
  <si>
    <t>材料</t>
  </si>
  <si>
    <t>产品尺寸</t>
  </si>
  <si>
    <t>材料成本</t>
  </si>
  <si>
    <t>加工费</t>
  </si>
  <si>
    <t>三项费用</t>
  </si>
  <si>
    <t>运输费</t>
  </si>
  <si>
    <t>包装费</t>
  </si>
  <si>
    <t>托盘费</t>
  </si>
  <si>
    <t>外仓储服务费</t>
  </si>
  <si>
    <t>器具车</t>
  </si>
  <si>
    <t>实验费</t>
  </si>
  <si>
    <t>模具</t>
  </si>
  <si>
    <t>成本合计</t>
  </si>
  <si>
    <t>仓储物流服务费</t>
  </si>
  <si>
    <t xml:space="preserve">QS
</t>
  </si>
  <si>
    <t>输出给销售报价成本</t>
  </si>
  <si>
    <t>T12T</t>
  </si>
  <si>
    <t>凯华</t>
  </si>
  <si>
    <t>杨克波</t>
  </si>
  <si>
    <t>芜湖</t>
  </si>
  <si>
    <t>直供</t>
  </si>
  <si>
    <t>模切</t>
  </si>
  <si>
    <t>PP+PET</t>
  </si>
  <si>
    <t>吸音棉</t>
  </si>
  <si>
    <t>403032281AA-2</t>
  </si>
  <si>
    <t>400g/㎡  10mm双组份吸音棉</t>
  </si>
  <si>
    <t>354*82*10</t>
  </si>
  <si>
    <t>403032282AA-2</t>
  </si>
  <si>
    <t>403034543AA-3</t>
  </si>
  <si>
    <t>403*90*10</t>
  </si>
  <si>
    <t>403037026AA-3</t>
  </si>
  <si>
    <t>403037030AA-3</t>
  </si>
  <si>
    <t>403032278AA-2</t>
  </si>
  <si>
    <t>500*163*142</t>
  </si>
  <si>
    <t>403032287AA-2</t>
  </si>
  <si>
    <t>PET</t>
  </si>
  <si>
    <t>毛毡</t>
  </si>
  <si>
    <t>403032278AA-3</t>
  </si>
  <si>
    <t>150g/㎡  1mmPET毡 带背胶</t>
  </si>
  <si>
    <t>20*20*1</t>
  </si>
  <si>
    <t>403032287AA-3</t>
  </si>
  <si>
    <t>403032289AA-4</t>
  </si>
  <si>
    <t>外购供应商：南通华阁</t>
  </si>
  <si>
    <t>单位</t>
  </si>
  <si>
    <t>用量</t>
  </si>
  <si>
    <t>单价</t>
  </si>
  <si>
    <t>备注</t>
  </si>
  <si>
    <t>排版</t>
  </si>
  <si>
    <r>
      <rPr>
        <sz val="9"/>
        <color theme="1"/>
        <rFont val="宋体"/>
        <charset val="134"/>
        <scheme val="minor"/>
      </rPr>
      <t xml:space="preserve">MT402, 10MM   双面白色PP纺粘无纺布  双线封边
预估展开尺寸；354*95*10
</t>
    </r>
    <r>
      <rPr>
        <sz val="9"/>
        <color rgb="FFFF0000"/>
        <rFont val="宋体"/>
        <charset val="134"/>
        <scheme val="minor"/>
      </rPr>
      <t>用量：1.6*0.38/15</t>
    </r>
  </si>
  <si>
    <t>㎡</t>
  </si>
  <si>
    <r>
      <rPr>
        <sz val="9"/>
        <color theme="1"/>
        <rFont val="宋体"/>
        <charset val="134"/>
        <scheme val="minor"/>
      </rPr>
      <t xml:space="preserve">MT402, 10MM   双面白色PP纺粘无纺布  双线封边
预估展开尺寸；403*100*10
</t>
    </r>
    <r>
      <rPr>
        <sz val="9"/>
        <color rgb="FFFF0000"/>
        <rFont val="宋体"/>
        <charset val="134"/>
        <scheme val="minor"/>
      </rPr>
      <t>用量：1.6*0.43/14</t>
    </r>
  </si>
  <si>
    <r>
      <rPr>
        <sz val="9"/>
        <color theme="1"/>
        <rFont val="宋体"/>
        <charset val="134"/>
        <scheme val="minor"/>
      </rPr>
      <t xml:space="preserve">MT402, 10MM   双面白色PP纺粘无纺布  双线封边
预估展开尺寸；600*163*10
</t>
    </r>
    <r>
      <rPr>
        <sz val="9"/>
        <color rgb="FFFF0000"/>
        <rFont val="宋体"/>
        <charset val="134"/>
        <scheme val="minor"/>
      </rPr>
      <t>用量：1.6*0.62/9</t>
    </r>
  </si>
  <si>
    <t>150g/㎡ 1mm厚 PET毡 带背胶</t>
  </si>
  <si>
    <t>pcs</t>
  </si>
  <si>
    <t>外购,  5000起订</t>
  </si>
  <si>
    <t>1工序</t>
  </si>
  <si>
    <t>人数</t>
  </si>
  <si>
    <t>PCS/（秒）</t>
  </si>
  <si>
    <t>2工序</t>
  </si>
  <si>
    <t>3工序</t>
  </si>
  <si>
    <t>4工序</t>
  </si>
  <si>
    <t>5工序</t>
  </si>
  <si>
    <t>6工序</t>
  </si>
  <si>
    <t>7工序</t>
  </si>
  <si>
    <t>贴条胶带</t>
  </si>
  <si>
    <t>检验包装</t>
  </si>
  <si>
    <t>加工费小计</t>
  </si>
  <si>
    <t>外购</t>
  </si>
  <si>
    <t>一出N</t>
  </si>
  <si>
    <t>刀模数</t>
  </si>
  <si>
    <t>模具1</t>
  </si>
  <si>
    <t>价格</t>
  </si>
  <si>
    <t>模具2</t>
  </si>
  <si>
    <t>模具3</t>
  </si>
  <si>
    <t>模具4</t>
  </si>
  <si>
    <t>模具5</t>
  </si>
  <si>
    <t>模具6</t>
  </si>
  <si>
    <t>合计</t>
  </si>
  <si>
    <t>税率</t>
  </si>
  <si>
    <t>未税</t>
  </si>
  <si>
    <t>年量</t>
  </si>
  <si>
    <t>分摊</t>
  </si>
  <si>
    <t>刀模</t>
  </si>
  <si>
    <t>检验版</t>
  </si>
  <si>
    <t>外购件</t>
  </si>
  <si>
    <t>纸箱尺寸</t>
  </si>
  <si>
    <t>内包装</t>
  </si>
  <si>
    <t>外包装</t>
  </si>
  <si>
    <t>PCS/箱</t>
  </si>
  <si>
    <t>纸箱/层</t>
  </si>
  <si>
    <t>器具车尺寸</t>
  </si>
  <si>
    <t>放置数量</t>
  </si>
  <si>
    <t>器具数量</t>
  </si>
  <si>
    <t>内包装价格</t>
  </si>
  <si>
    <t>外包装价格</t>
  </si>
  <si>
    <t>长</t>
  </si>
  <si>
    <t>宽</t>
  </si>
  <si>
    <t>高</t>
  </si>
  <si>
    <t>器具车价格</t>
  </si>
  <si>
    <t>仓储费</t>
  </si>
  <si>
    <t>操作费</t>
  </si>
  <si>
    <t>箱子利用率</t>
  </si>
  <si>
    <t>4#</t>
  </si>
  <si>
    <t>600*163*10</t>
  </si>
  <si>
    <t>3#</t>
  </si>
  <si>
    <t>试验报价（含税）</t>
  </si>
  <si>
    <t>未税价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</si>
</sst>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-* #,##0.00\ [$€-1]_-;\-* #,##0.00\ [$€-1]_-;_-* &quot;-&quot;??\ [$€-1]_-"/>
    <numFmt numFmtId="178" formatCode="0.00_ "/>
    <numFmt numFmtId="179" formatCode="0.0000_ "/>
    <numFmt numFmtId="180" formatCode="0_ "/>
    <numFmt numFmtId="181" formatCode="0.000_ "/>
    <numFmt numFmtId="182" formatCode="0.0"/>
    <numFmt numFmtId="183" formatCode="0.0_ "/>
    <numFmt numFmtId="184" formatCode="0.00_);[Red]\(0.00\)"/>
    <numFmt numFmtId="185" formatCode="0.000_);[Red]\(0.000\)"/>
  </numFmts>
  <fonts count="28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9"/>
      <color rgb="FF201F35"/>
      <name val="宋体"/>
      <charset val="134"/>
    </font>
    <font>
      <sz val="9"/>
      <color theme="1"/>
      <name val="宋体"/>
      <charset val="134"/>
      <scheme val="minor"/>
    </font>
    <font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9"/>
      <color rgb="FFFF0000"/>
      <name val="宋体"/>
      <charset val="134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6" fontId="24" fillId="0" borderId="0"/>
    <xf numFmtId="176" fontId="24" fillId="0" borderId="0"/>
    <xf numFmtId="176" fontId="24" fillId="0" borderId="0"/>
    <xf numFmtId="176" fontId="0" fillId="0" borderId="0">
      <alignment vertical="center"/>
    </xf>
    <xf numFmtId="0" fontId="25" fillId="0" borderId="0"/>
    <xf numFmtId="176" fontId="24" fillId="0" borderId="0"/>
    <xf numFmtId="0" fontId="0" fillId="0" borderId="0">
      <alignment vertical="center"/>
    </xf>
    <xf numFmtId="176" fontId="24" fillId="0" borderId="0"/>
    <xf numFmtId="0" fontId="0" fillId="0" borderId="0">
      <alignment vertical="center"/>
    </xf>
    <xf numFmtId="0" fontId="25" fillId="0" borderId="0"/>
    <xf numFmtId="176" fontId="25" fillId="0" borderId="0"/>
    <xf numFmtId="0" fontId="0" fillId="0" borderId="0"/>
    <xf numFmtId="0" fontId="0" fillId="0" borderId="0"/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7" fontId="25" fillId="0" borderId="0">
      <alignment vertical="center"/>
    </xf>
  </cellStyleXfs>
  <cellXfs count="57">
    <xf numFmtId="0" fontId="0" fillId="0" borderId="0" xfId="0"/>
    <xf numFmtId="0" fontId="0" fillId="0" borderId="0" xfId="0" applyFont="1"/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80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81" fontId="0" fillId="0" borderId="0" xfId="0" applyNumberFormat="1" applyFont="1" applyFill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18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9" fontId="0" fillId="0" borderId="0" xfId="3" applyFon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185" fontId="0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8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85" fontId="0" fillId="8" borderId="0" xfId="0" applyNumberFormat="1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85" fontId="0" fillId="0" borderId="1" xfId="0" applyNumberFormat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84" fontId="0" fillId="0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43" fontId="0" fillId="0" borderId="0" xfId="0" applyNumberFormat="1" applyFont="1" applyAlignment="1">
      <alignment horizontal="center" vertical="center"/>
    </xf>
    <xf numFmtId="43" fontId="0" fillId="0" borderId="0" xfId="0" applyNumberFormat="1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024 SGM980 GBOX + KBOLSTER" xfId="49"/>
    <cellStyle name="Style 1 2 2" xfId="50"/>
    <cellStyle name="Normal 2 3 2" xfId="51"/>
    <cellStyle name="Normal 6 2 4 2" xfId="52"/>
    <cellStyle name="常规 3 2" xfId="53"/>
    <cellStyle name="常规_Multifunklenkrad" xfId="54"/>
    <cellStyle name="常规 2 2" xfId="55"/>
    <cellStyle name="Normal 4" xfId="56"/>
    <cellStyle name="常规 2" xfId="57"/>
    <cellStyle name="常规 3" xfId="58"/>
    <cellStyle name="常规_CHK011 IP BOM-V2-2012308" xfId="59"/>
    <cellStyle name="常规 4" xfId="60"/>
    <cellStyle name="常规 5" xfId="61"/>
    <cellStyle name="常规 13" xfId="62"/>
    <cellStyle name="常规 2 4 3 2 2 2" xfId="63"/>
    <cellStyle name="常规 2 4 3" xfId="64"/>
    <cellStyle name="常规 2 2 2 2" xfId="65"/>
    <cellStyle name="常规_自制及自发包零件原材料清单 2" xfId="66"/>
    <cellStyle name="常规 2 2 2" xfId="67"/>
  </cellStyles>
  <tableStyles count="0" defaultTableStyle="TableStyleMedium2" defaultPivotStyle="PivotStyleMedium9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1752600" cy="638175"/>
    <xdr:pic>
      <xdr:nvPicPr>
        <xdr:cNvPr id="4" name="图片 13"/>
        <xdr:cNvPicPr/>
      </xdr:nvPicPr>
      <xdr:blipFill>
        <a:blip r:embed="rId1"/>
        <a:stretch>
          <a:fillRect/>
        </a:stretch>
      </xdr:blipFill>
      <xdr:spPr>
        <a:xfrm>
          <a:off x="12449175" y="182880"/>
          <a:ext cx="1752600" cy="638175"/>
        </a:xfrm>
        <a:prstGeom prst="rect">
          <a:avLst/>
        </a:prstGeom>
      </xdr:spPr>
    </xdr:pic>
    <xdr:clientData/>
  </xdr:oneCellAnchor>
  <xdr:oneCellAnchor>
    <xdr:from>
      <xdr:col>9</xdr:col>
      <xdr:colOff>92710</xdr:colOff>
      <xdr:row>2</xdr:row>
      <xdr:rowOff>42545</xdr:rowOff>
    </xdr:from>
    <xdr:ext cx="1685925" cy="609600"/>
    <xdr:pic>
      <xdr:nvPicPr>
        <xdr:cNvPr id="5" name="图片 16"/>
        <xdr:cNvPicPr/>
      </xdr:nvPicPr>
      <xdr:blipFill>
        <a:blip r:embed="rId2"/>
        <a:stretch>
          <a:fillRect/>
        </a:stretch>
      </xdr:blipFill>
      <xdr:spPr>
        <a:xfrm>
          <a:off x="12541885" y="962025"/>
          <a:ext cx="1685925" cy="6096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638300" cy="609600"/>
    <xdr:pic>
      <xdr:nvPicPr>
        <xdr:cNvPr id="6" name="图片 20"/>
        <xdr:cNvPicPr/>
      </xdr:nvPicPr>
      <xdr:blipFill>
        <a:blip r:embed="rId3"/>
        <a:stretch>
          <a:fillRect/>
        </a:stretch>
      </xdr:blipFill>
      <xdr:spPr>
        <a:xfrm>
          <a:off x="12449175" y="1630680"/>
          <a:ext cx="1638300" cy="6096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1590675" cy="609600"/>
    <xdr:pic>
      <xdr:nvPicPr>
        <xdr:cNvPr id="7" name="图片 24"/>
        <xdr:cNvPicPr/>
      </xdr:nvPicPr>
      <xdr:blipFill>
        <a:blip r:embed="rId4"/>
        <a:stretch>
          <a:fillRect/>
        </a:stretch>
      </xdr:blipFill>
      <xdr:spPr>
        <a:xfrm>
          <a:off x="12449175" y="2227580"/>
          <a:ext cx="1590675" cy="6096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1752600" cy="542925"/>
    <xdr:pic>
      <xdr:nvPicPr>
        <xdr:cNvPr id="8" name="图片 28"/>
        <xdr:cNvPicPr/>
      </xdr:nvPicPr>
      <xdr:blipFill>
        <a:blip r:embed="rId5"/>
        <a:stretch>
          <a:fillRect/>
        </a:stretch>
      </xdr:blipFill>
      <xdr:spPr>
        <a:xfrm>
          <a:off x="12449175" y="2938780"/>
          <a:ext cx="1752600" cy="542925"/>
        </a:xfrm>
        <a:prstGeom prst="rect">
          <a:avLst/>
        </a:prstGeom>
      </xdr:spPr>
    </xdr:pic>
    <xdr:clientData/>
  </xdr:oneCellAnchor>
  <xdr:oneCellAnchor>
    <xdr:from>
      <xdr:col>9</xdr:col>
      <xdr:colOff>43815</xdr:colOff>
      <xdr:row>6</xdr:row>
      <xdr:rowOff>31750</xdr:rowOff>
    </xdr:from>
    <xdr:ext cx="1314450" cy="509270"/>
    <xdr:pic>
      <xdr:nvPicPr>
        <xdr:cNvPr id="9" name="图片 9"/>
        <xdr:cNvPicPr/>
      </xdr:nvPicPr>
      <xdr:blipFill>
        <a:blip r:embed="rId6"/>
        <a:stretch>
          <a:fillRect/>
        </a:stretch>
      </xdr:blipFill>
      <xdr:spPr>
        <a:xfrm>
          <a:off x="12492990" y="3618230"/>
          <a:ext cx="1314450" cy="509270"/>
        </a:xfrm>
        <a:prstGeom prst="rect">
          <a:avLst/>
        </a:prstGeom>
      </xdr:spPr>
    </xdr:pic>
    <xdr:clientData/>
  </xdr:oneCellAnchor>
  <xdr:oneCellAnchor>
    <xdr:from>
      <xdr:col>9</xdr:col>
      <xdr:colOff>175895</xdr:colOff>
      <xdr:row>7</xdr:row>
      <xdr:rowOff>52070</xdr:rowOff>
    </xdr:from>
    <xdr:ext cx="1247140" cy="495300"/>
    <xdr:pic>
      <xdr:nvPicPr>
        <xdr:cNvPr id="10" name="图片 9"/>
        <xdr:cNvPicPr/>
      </xdr:nvPicPr>
      <xdr:blipFill>
        <a:blip r:embed="rId6"/>
        <a:stretch>
          <a:fillRect/>
        </a:stretch>
      </xdr:blipFill>
      <xdr:spPr>
        <a:xfrm>
          <a:off x="12625070" y="4248150"/>
          <a:ext cx="1247140" cy="495300"/>
        </a:xfrm>
        <a:prstGeom prst="rect">
          <a:avLst/>
        </a:prstGeom>
      </xdr:spPr>
    </xdr:pic>
    <xdr:clientData/>
  </xdr:oneCellAnchor>
  <xdr:oneCellAnchor>
    <xdr:from>
      <xdr:col>9</xdr:col>
      <xdr:colOff>322580</xdr:colOff>
      <xdr:row>8</xdr:row>
      <xdr:rowOff>6350</xdr:rowOff>
    </xdr:from>
    <xdr:ext cx="571500" cy="542925"/>
    <xdr:pic>
      <xdr:nvPicPr>
        <xdr:cNvPr id="11" name="图片 10"/>
        <xdr:cNvPicPr/>
      </xdr:nvPicPr>
      <xdr:blipFill>
        <a:blip r:embed="rId7"/>
        <a:stretch>
          <a:fillRect/>
        </a:stretch>
      </xdr:blipFill>
      <xdr:spPr>
        <a:xfrm>
          <a:off x="12771755" y="4850130"/>
          <a:ext cx="571500" cy="542925"/>
        </a:xfrm>
        <a:prstGeom prst="rect">
          <a:avLst/>
        </a:prstGeom>
      </xdr:spPr>
    </xdr:pic>
    <xdr:clientData/>
  </xdr:oneCellAnchor>
  <xdr:oneCellAnchor>
    <xdr:from>
      <xdr:col>9</xdr:col>
      <xdr:colOff>373380</xdr:colOff>
      <xdr:row>9</xdr:row>
      <xdr:rowOff>19050</xdr:rowOff>
    </xdr:from>
    <xdr:ext cx="571500" cy="542925"/>
    <xdr:pic>
      <xdr:nvPicPr>
        <xdr:cNvPr id="12" name="图片 10"/>
        <xdr:cNvPicPr/>
      </xdr:nvPicPr>
      <xdr:blipFill>
        <a:blip r:embed="rId7"/>
        <a:stretch>
          <a:fillRect/>
        </a:stretch>
      </xdr:blipFill>
      <xdr:spPr>
        <a:xfrm>
          <a:off x="12822555" y="5408930"/>
          <a:ext cx="571500" cy="542925"/>
        </a:xfrm>
        <a:prstGeom prst="rect">
          <a:avLst/>
        </a:prstGeom>
      </xdr:spPr>
    </xdr:pic>
    <xdr:clientData/>
  </xdr:oneCellAnchor>
  <xdr:oneCellAnchor>
    <xdr:from>
      <xdr:col>9</xdr:col>
      <xdr:colOff>398780</xdr:colOff>
      <xdr:row>10</xdr:row>
      <xdr:rowOff>0</xdr:rowOff>
    </xdr:from>
    <xdr:ext cx="571500" cy="542925"/>
    <xdr:pic>
      <xdr:nvPicPr>
        <xdr:cNvPr id="13" name="图片 10"/>
        <xdr:cNvPicPr/>
      </xdr:nvPicPr>
      <xdr:blipFill>
        <a:blip r:embed="rId7"/>
        <a:stretch>
          <a:fillRect/>
        </a:stretch>
      </xdr:blipFill>
      <xdr:spPr>
        <a:xfrm>
          <a:off x="12847955" y="5974080"/>
          <a:ext cx="571500" cy="542925"/>
        </a:xfrm>
        <a:prstGeom prst="rect">
          <a:avLst/>
        </a:prstGeom>
      </xdr:spPr>
    </xdr:pic>
    <xdr:clientData/>
  </xdr:oneCellAnchor>
  <xdr:oneCellAnchor>
    <xdr:from>
      <xdr:col>9</xdr:col>
      <xdr:colOff>422275</xdr:colOff>
      <xdr:row>11</xdr:row>
      <xdr:rowOff>40640</xdr:rowOff>
    </xdr:from>
    <xdr:ext cx="571500" cy="542925"/>
    <xdr:pic>
      <xdr:nvPicPr>
        <xdr:cNvPr id="14" name="图片 10"/>
        <xdr:cNvPicPr/>
      </xdr:nvPicPr>
      <xdr:blipFill>
        <a:blip r:embed="rId7"/>
        <a:stretch>
          <a:fillRect/>
        </a:stretch>
      </xdr:blipFill>
      <xdr:spPr>
        <a:xfrm>
          <a:off x="12871450" y="6497320"/>
          <a:ext cx="571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15"/>
  <sheetViews>
    <sheetView tabSelected="1" zoomScaleSheetLayoutView="85" topLeftCell="I1" workbookViewId="0">
      <pane ySplit="2" topLeftCell="A3" activePane="bottomLeft" state="frozen"/>
      <selection/>
      <selection pane="bottomLeft" activeCell="AB3" sqref="AB3:AB13"/>
    </sheetView>
  </sheetViews>
  <sheetFormatPr defaultColWidth="8.87037037037037" defaultRowHeight="14.4"/>
  <cols>
    <col min="1" max="1" width="10.8703703703704" style="4" customWidth="1"/>
    <col min="2" max="4" width="10.75" style="4" customWidth="1"/>
    <col min="5" max="5" width="9.5" style="4" customWidth="1"/>
    <col min="6" max="6" width="9.62962962962963" style="4" customWidth="1"/>
    <col min="7" max="7" width="9.36111111111111" style="4" customWidth="1"/>
    <col min="8" max="8" width="10.0925925925926" style="4" customWidth="1"/>
    <col min="9" max="9" width="7.90740740740741" style="4" customWidth="1"/>
    <col min="10" max="10" width="9.63888888888889" style="4" customWidth="1"/>
    <col min="11" max="11" width="9.73148148148148" style="4" customWidth="1"/>
    <col min="12" max="12" width="16.7314814814815" style="4" customWidth="1"/>
    <col min="13" max="13" width="28.1851851851852" style="32" customWidth="1"/>
    <col min="14" max="14" width="16.25" style="4" customWidth="1"/>
    <col min="15" max="15" width="9.5" style="27" customWidth="1"/>
    <col min="16" max="16" width="8.25" style="11" customWidth="1"/>
    <col min="17" max="17" width="7.75" style="11" customWidth="1"/>
    <col min="18" max="18" width="8.12962962962963" style="11" customWidth="1"/>
    <col min="19" max="21" width="8.87037037037037" style="11"/>
    <col min="22" max="22" width="7.62962962962963" style="11" customWidth="1"/>
    <col min="23" max="23" width="8.25" style="11" customWidth="1"/>
    <col min="24" max="24" width="9.77777777777778" style="11" customWidth="1"/>
    <col min="25" max="25" width="8.87037037037037" style="49" customWidth="1"/>
    <col min="26" max="26" width="12.6296296296296" style="50" customWidth="1"/>
    <col min="27" max="27" width="6.66666666666667" style="49" customWidth="1"/>
    <col min="28" max="28" width="13" style="4"/>
    <col min="29" max="29" width="9.66666666666667" style="4"/>
    <col min="30" max="30" width="8.87037037037037" style="4"/>
    <col min="31" max="31" width="13" style="4"/>
    <col min="32" max="16384" width="8.87037037037037" style="4"/>
  </cols>
  <sheetData>
    <row r="1" ht="16.5" customHeight="1"/>
    <row r="2" s="4" customFormat="1" ht="28.8" spans="1:3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32" t="s">
        <v>12</v>
      </c>
      <c r="N2" s="4" t="s">
        <v>13</v>
      </c>
      <c r="O2" s="27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49" t="s">
        <v>24</v>
      </c>
      <c r="Z2" s="51" t="s">
        <v>25</v>
      </c>
      <c r="AA2" s="51" t="s">
        <v>26</v>
      </c>
      <c r="AB2" s="51" t="s">
        <v>27</v>
      </c>
    </row>
    <row r="3" s="7" customFormat="1" spans="1:31">
      <c r="A3" s="52">
        <v>46266</v>
      </c>
      <c r="B3" s="7" t="s">
        <v>28</v>
      </c>
      <c r="C3" s="7" t="s">
        <v>29</v>
      </c>
      <c r="D3" s="7" t="s">
        <v>30</v>
      </c>
      <c r="E3" s="7" t="s">
        <v>31</v>
      </c>
      <c r="F3" s="10">
        <v>50000</v>
      </c>
      <c r="G3" s="7">
        <v>5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53" t="s">
        <v>37</v>
      </c>
      <c r="N3" s="7" t="s">
        <v>38</v>
      </c>
      <c r="O3" s="54">
        <f>BOM!H2</f>
        <v>0.21888</v>
      </c>
      <c r="P3" s="54">
        <f>工序工时!AB3</f>
        <v>0.0814814814814815</v>
      </c>
      <c r="Q3" s="54">
        <f>(O3+P3)*0.08</f>
        <v>0.0240289185185185</v>
      </c>
      <c r="R3" s="54">
        <f>物流包装!F3</f>
        <v>0.020225625</v>
      </c>
      <c r="S3" s="54">
        <f>物流包装!G3</f>
        <v>0.0229166666666667</v>
      </c>
      <c r="T3" s="54">
        <v>0</v>
      </c>
      <c r="U3" s="54">
        <v>0</v>
      </c>
      <c r="V3" s="54">
        <v>0</v>
      </c>
      <c r="W3" s="54">
        <v>0.02</v>
      </c>
      <c r="X3" s="54">
        <f>模检具!V2</f>
        <v>0.0106194690265487</v>
      </c>
      <c r="Y3" s="55">
        <f>SUM(O3:X3)</f>
        <v>0.398152160693216</v>
      </c>
      <c r="Z3" s="55">
        <v>0</v>
      </c>
      <c r="AA3" s="55">
        <v>0</v>
      </c>
      <c r="AB3" s="54">
        <f>Y3+Z3+AA3</f>
        <v>0.398152160693216</v>
      </c>
      <c r="AC3" s="7">
        <f>0.354*0.082</f>
        <v>0.029028</v>
      </c>
      <c r="AD3" s="7">
        <v>0.4</v>
      </c>
      <c r="AE3" s="9">
        <f>AB3/AC3/AD3</f>
        <v>34.2903542005319</v>
      </c>
    </row>
    <row r="4" spans="1:31">
      <c r="A4" s="52">
        <v>46266</v>
      </c>
      <c r="B4" s="7" t="s">
        <v>28</v>
      </c>
      <c r="C4" s="7" t="s">
        <v>29</v>
      </c>
      <c r="D4" s="7" t="s">
        <v>30</v>
      </c>
      <c r="E4" s="7" t="s">
        <v>31</v>
      </c>
      <c r="F4" s="10">
        <v>50000</v>
      </c>
      <c r="G4" s="7">
        <v>5</v>
      </c>
      <c r="H4" s="7" t="s">
        <v>32</v>
      </c>
      <c r="I4" s="7" t="s">
        <v>33</v>
      </c>
      <c r="J4" s="7" t="s">
        <v>34</v>
      </c>
      <c r="K4" s="4" t="s">
        <v>35</v>
      </c>
      <c r="L4" s="4" t="s">
        <v>39</v>
      </c>
      <c r="M4" s="53" t="s">
        <v>37</v>
      </c>
      <c r="N4" s="7" t="s">
        <v>38</v>
      </c>
      <c r="O4" s="54">
        <f>BOM!H3</f>
        <v>0.21888</v>
      </c>
      <c r="P4" s="54">
        <f>工序工时!AB4</f>
        <v>0.0814814814814815</v>
      </c>
      <c r="Q4" s="54">
        <f t="shared" ref="Q4:Q13" si="0">(O4+P4)*0.08</f>
        <v>0.0240289185185185</v>
      </c>
      <c r="R4" s="54">
        <f>物流包装!F4</f>
        <v>0.020225625</v>
      </c>
      <c r="S4" s="54">
        <f>物流包装!G4</f>
        <v>0.0229166666666667</v>
      </c>
      <c r="T4" s="54">
        <v>0</v>
      </c>
      <c r="U4" s="54">
        <v>0</v>
      </c>
      <c r="V4" s="54">
        <v>0</v>
      </c>
      <c r="W4" s="54">
        <v>0.02</v>
      </c>
      <c r="X4" s="54">
        <f>模检具!V3</f>
        <v>0.0106194690265487</v>
      </c>
      <c r="Y4" s="55">
        <f t="shared" ref="Y4:Y13" si="1">SUM(O4:X4)</f>
        <v>0.398152160693216</v>
      </c>
      <c r="Z4" s="55">
        <v>0</v>
      </c>
      <c r="AA4" s="55">
        <v>0</v>
      </c>
      <c r="AB4" s="54">
        <f t="shared" ref="AB4:AB13" si="2">Y4+Z4+AA4</f>
        <v>0.398152160693216</v>
      </c>
      <c r="AC4" s="7">
        <f>0.354*0.082</f>
        <v>0.029028</v>
      </c>
      <c r="AD4" s="4">
        <v>0.4</v>
      </c>
      <c r="AE4" s="9">
        <f t="shared" ref="AE4:AE9" si="3">AB4/AC4/AD4</f>
        <v>34.2903542005319</v>
      </c>
    </row>
    <row r="5" spans="1:31">
      <c r="A5" s="52">
        <v>46266</v>
      </c>
      <c r="B5" s="7" t="s">
        <v>28</v>
      </c>
      <c r="C5" s="7" t="s">
        <v>29</v>
      </c>
      <c r="D5" s="7" t="s">
        <v>30</v>
      </c>
      <c r="E5" s="7" t="s">
        <v>31</v>
      </c>
      <c r="F5" s="10">
        <v>50000</v>
      </c>
      <c r="G5" s="7">
        <v>5</v>
      </c>
      <c r="H5" s="7" t="s">
        <v>32</v>
      </c>
      <c r="I5" s="7" t="s">
        <v>33</v>
      </c>
      <c r="J5" s="7" t="s">
        <v>34</v>
      </c>
      <c r="K5" s="4" t="s">
        <v>35</v>
      </c>
      <c r="L5" s="4" t="s">
        <v>40</v>
      </c>
      <c r="M5" s="53" t="s">
        <v>37</v>
      </c>
      <c r="N5" s="4" t="s">
        <v>41</v>
      </c>
      <c r="O5" s="54">
        <f>BOM!H4</f>
        <v>0.265371428571429</v>
      </c>
      <c r="P5" s="54">
        <f>工序工时!AB5</f>
        <v>0.0873015873015873</v>
      </c>
      <c r="Q5" s="54">
        <f t="shared" si="0"/>
        <v>0.0282138412698413</v>
      </c>
      <c r="R5" s="54">
        <f>物流包装!F5</f>
        <v>0.020225625</v>
      </c>
      <c r="S5" s="54">
        <f>物流包装!G5</f>
        <v>0.0229166666666667</v>
      </c>
      <c r="T5" s="54">
        <v>0</v>
      </c>
      <c r="U5" s="54">
        <v>0</v>
      </c>
      <c r="V5" s="54">
        <v>0</v>
      </c>
      <c r="W5" s="54">
        <v>0.02</v>
      </c>
      <c r="X5" s="54">
        <f>模检具!V4</f>
        <v>0.0106194690265487</v>
      </c>
      <c r="Y5" s="55">
        <f t="shared" si="1"/>
        <v>0.454648617836073</v>
      </c>
      <c r="Z5" s="55">
        <v>0</v>
      </c>
      <c r="AA5" s="55">
        <v>0</v>
      </c>
      <c r="AB5" s="54">
        <f t="shared" si="2"/>
        <v>0.454648617836073</v>
      </c>
      <c r="AC5" s="4">
        <f t="shared" ref="AC5:AC7" si="4">0.403*0.09</f>
        <v>0.03627</v>
      </c>
      <c r="AD5" s="4">
        <v>0.4</v>
      </c>
      <c r="AE5" s="9">
        <f t="shared" si="3"/>
        <v>31.3377872784721</v>
      </c>
    </row>
    <row r="6" spans="1:31">
      <c r="A6" s="52">
        <v>46266</v>
      </c>
      <c r="B6" s="7" t="s">
        <v>28</v>
      </c>
      <c r="C6" s="7" t="s">
        <v>29</v>
      </c>
      <c r="D6" s="7" t="s">
        <v>30</v>
      </c>
      <c r="E6" s="7" t="s">
        <v>31</v>
      </c>
      <c r="F6" s="10">
        <v>50000</v>
      </c>
      <c r="G6" s="7">
        <v>5</v>
      </c>
      <c r="H6" s="7" t="s">
        <v>32</v>
      </c>
      <c r="I6" s="7" t="s">
        <v>33</v>
      </c>
      <c r="J6" s="7" t="s">
        <v>34</v>
      </c>
      <c r="K6" s="4" t="s">
        <v>35</v>
      </c>
      <c r="L6" s="4" t="s">
        <v>42</v>
      </c>
      <c r="M6" s="53" t="s">
        <v>37</v>
      </c>
      <c r="N6" s="4" t="s">
        <v>41</v>
      </c>
      <c r="O6" s="54">
        <f>BOM!H5</f>
        <v>0.265371428571429</v>
      </c>
      <c r="P6" s="54">
        <f>工序工时!AB6</f>
        <v>0.0873015873015873</v>
      </c>
      <c r="Q6" s="54">
        <f t="shared" si="0"/>
        <v>0.0282138412698413</v>
      </c>
      <c r="R6" s="54">
        <f>物流包装!F6</f>
        <v>0.020225625</v>
      </c>
      <c r="S6" s="54">
        <f>物流包装!G6</f>
        <v>0.0229166666666667</v>
      </c>
      <c r="T6" s="54">
        <v>0</v>
      </c>
      <c r="U6" s="54">
        <v>0</v>
      </c>
      <c r="V6" s="54">
        <v>0</v>
      </c>
      <c r="W6" s="54">
        <v>0.02</v>
      </c>
      <c r="X6" s="54">
        <f>模检具!V5</f>
        <v>0.0106194690265487</v>
      </c>
      <c r="Y6" s="55">
        <f t="shared" si="1"/>
        <v>0.454648617836073</v>
      </c>
      <c r="Z6" s="55">
        <v>0</v>
      </c>
      <c r="AA6" s="55">
        <v>0</v>
      </c>
      <c r="AB6" s="54">
        <f t="shared" si="2"/>
        <v>0.454648617836073</v>
      </c>
      <c r="AC6" s="4">
        <f t="shared" si="4"/>
        <v>0.03627</v>
      </c>
      <c r="AD6" s="4">
        <v>0.4</v>
      </c>
      <c r="AE6" s="9">
        <f t="shared" si="3"/>
        <v>31.3377872784721</v>
      </c>
    </row>
    <row r="7" spans="1:31">
      <c r="A7" s="52">
        <v>46266</v>
      </c>
      <c r="B7" s="7" t="s">
        <v>28</v>
      </c>
      <c r="C7" s="7" t="s">
        <v>29</v>
      </c>
      <c r="D7" s="7" t="s">
        <v>30</v>
      </c>
      <c r="E7" s="7" t="s">
        <v>31</v>
      </c>
      <c r="F7" s="10">
        <v>50000</v>
      </c>
      <c r="G7" s="7">
        <v>5</v>
      </c>
      <c r="H7" s="7" t="s">
        <v>32</v>
      </c>
      <c r="I7" s="7" t="s">
        <v>33</v>
      </c>
      <c r="J7" s="7" t="s">
        <v>34</v>
      </c>
      <c r="K7" s="4" t="s">
        <v>35</v>
      </c>
      <c r="L7" s="4" t="s">
        <v>43</v>
      </c>
      <c r="M7" s="53" t="s">
        <v>37</v>
      </c>
      <c r="N7" s="4" t="s">
        <v>41</v>
      </c>
      <c r="O7" s="54">
        <f>BOM!H6</f>
        <v>0.265371428571429</v>
      </c>
      <c r="P7" s="54">
        <f>工序工时!AB7</f>
        <v>0.0873015873015873</v>
      </c>
      <c r="Q7" s="54">
        <f t="shared" si="0"/>
        <v>0.0282138412698413</v>
      </c>
      <c r="R7" s="54">
        <f>物流包装!F7</f>
        <v>0.020225625</v>
      </c>
      <c r="S7" s="54">
        <f>物流包装!G7</f>
        <v>0.0229166666666667</v>
      </c>
      <c r="T7" s="54">
        <v>0</v>
      </c>
      <c r="U7" s="54">
        <v>0</v>
      </c>
      <c r="V7" s="54">
        <v>0</v>
      </c>
      <c r="W7" s="54">
        <v>0.02</v>
      </c>
      <c r="X7" s="54">
        <f>模检具!V6</f>
        <v>0.0106194690265487</v>
      </c>
      <c r="Y7" s="55">
        <f t="shared" si="1"/>
        <v>0.454648617836073</v>
      </c>
      <c r="Z7" s="55">
        <v>0</v>
      </c>
      <c r="AA7" s="55">
        <v>0</v>
      </c>
      <c r="AB7" s="54">
        <f t="shared" si="2"/>
        <v>0.454648617836073</v>
      </c>
      <c r="AC7" s="4">
        <f t="shared" si="4"/>
        <v>0.03627</v>
      </c>
      <c r="AD7" s="4">
        <v>0.4</v>
      </c>
      <c r="AE7" s="9">
        <f t="shared" si="3"/>
        <v>31.3377872784721</v>
      </c>
    </row>
    <row r="8" spans="1:31">
      <c r="A8" s="52">
        <v>46266</v>
      </c>
      <c r="B8" s="7" t="s">
        <v>28</v>
      </c>
      <c r="C8" s="7" t="s">
        <v>29</v>
      </c>
      <c r="D8" s="7" t="s">
        <v>30</v>
      </c>
      <c r="E8" s="7" t="s">
        <v>31</v>
      </c>
      <c r="F8" s="10">
        <v>50000</v>
      </c>
      <c r="G8" s="7">
        <v>5</v>
      </c>
      <c r="H8" s="7" t="s">
        <v>32</v>
      </c>
      <c r="I8" s="7" t="s">
        <v>33</v>
      </c>
      <c r="J8" s="7" t="s">
        <v>34</v>
      </c>
      <c r="K8" s="4" t="s">
        <v>35</v>
      </c>
      <c r="L8" s="4" t="s">
        <v>44</v>
      </c>
      <c r="M8" s="53" t="s">
        <v>37</v>
      </c>
      <c r="N8" s="4" t="s">
        <v>45</v>
      </c>
      <c r="O8" s="54">
        <f>BOM!H7</f>
        <v>0.5952</v>
      </c>
      <c r="P8" s="54">
        <f>工序工时!AB8</f>
        <v>0.101851851851852</v>
      </c>
      <c r="Q8" s="54">
        <f t="shared" si="0"/>
        <v>0.0557641481481481</v>
      </c>
      <c r="R8" s="54">
        <f>物流包装!F8</f>
        <v>0.053794375</v>
      </c>
      <c r="S8" s="54">
        <f>物流包装!G8</f>
        <v>0.0525</v>
      </c>
      <c r="T8" s="54">
        <v>0</v>
      </c>
      <c r="U8" s="54">
        <v>0</v>
      </c>
      <c r="V8" s="54">
        <v>0</v>
      </c>
      <c r="W8" s="54">
        <v>0.02</v>
      </c>
      <c r="X8" s="54">
        <f>模检具!V7</f>
        <v>0.0106194690265487</v>
      </c>
      <c r="Y8" s="55">
        <f t="shared" si="1"/>
        <v>0.889729844026548</v>
      </c>
      <c r="Z8" s="55">
        <v>0</v>
      </c>
      <c r="AA8" s="55">
        <v>0</v>
      </c>
      <c r="AB8" s="54">
        <f t="shared" si="2"/>
        <v>0.889729844026548</v>
      </c>
      <c r="AC8" s="4">
        <f>0.5*0.163</f>
        <v>0.0815</v>
      </c>
      <c r="AD8" s="4">
        <v>0.4</v>
      </c>
      <c r="AE8" s="9">
        <f t="shared" si="3"/>
        <v>27.2923265038818</v>
      </c>
    </row>
    <row r="9" spans="1:31">
      <c r="A9" s="52">
        <v>46266</v>
      </c>
      <c r="B9" s="7" t="s">
        <v>28</v>
      </c>
      <c r="C9" s="7" t="s">
        <v>29</v>
      </c>
      <c r="D9" s="7" t="s">
        <v>30</v>
      </c>
      <c r="E9" s="7" t="s">
        <v>31</v>
      </c>
      <c r="F9" s="10">
        <v>50000</v>
      </c>
      <c r="G9" s="7">
        <v>5</v>
      </c>
      <c r="H9" s="7" t="s">
        <v>32</v>
      </c>
      <c r="I9" s="7" t="s">
        <v>33</v>
      </c>
      <c r="J9" s="7" t="s">
        <v>34</v>
      </c>
      <c r="K9" s="4" t="s">
        <v>35</v>
      </c>
      <c r="L9" s="4" t="s">
        <v>46</v>
      </c>
      <c r="M9" s="53" t="s">
        <v>37</v>
      </c>
      <c r="N9" s="4" t="s">
        <v>45</v>
      </c>
      <c r="O9" s="54">
        <f>BOM!H8</f>
        <v>0.5952</v>
      </c>
      <c r="P9" s="54">
        <f>工序工时!AB9</f>
        <v>0.101851851851852</v>
      </c>
      <c r="Q9" s="54">
        <f t="shared" si="0"/>
        <v>0.0557641481481481</v>
      </c>
      <c r="R9" s="54">
        <f>物流包装!F9</f>
        <v>0.053794375</v>
      </c>
      <c r="S9" s="54">
        <f>物流包装!G9</f>
        <v>0.0525</v>
      </c>
      <c r="T9" s="54">
        <v>0</v>
      </c>
      <c r="U9" s="54">
        <v>0</v>
      </c>
      <c r="V9" s="54">
        <v>0</v>
      </c>
      <c r="W9" s="54">
        <v>0.02</v>
      </c>
      <c r="X9" s="54">
        <f>模检具!V8</f>
        <v>0.0106194690265487</v>
      </c>
      <c r="Y9" s="55">
        <f t="shared" si="1"/>
        <v>0.889729844026548</v>
      </c>
      <c r="Z9" s="55">
        <v>0</v>
      </c>
      <c r="AA9" s="55">
        <v>0</v>
      </c>
      <c r="AB9" s="54">
        <f t="shared" si="2"/>
        <v>0.889729844026548</v>
      </c>
      <c r="AC9" s="4">
        <f>0.5*0.163</f>
        <v>0.0815</v>
      </c>
      <c r="AD9" s="4">
        <v>0.4</v>
      </c>
      <c r="AE9" s="9">
        <f t="shared" si="3"/>
        <v>27.2923265038818</v>
      </c>
    </row>
    <row r="10" spans="1:31">
      <c r="A10" s="52">
        <v>46266</v>
      </c>
      <c r="B10" s="7" t="s">
        <v>28</v>
      </c>
      <c r="C10" s="7" t="s">
        <v>29</v>
      </c>
      <c r="D10" s="7" t="s">
        <v>30</v>
      </c>
      <c r="E10" s="7" t="s">
        <v>31</v>
      </c>
      <c r="F10" s="10">
        <v>50000</v>
      </c>
      <c r="G10" s="7">
        <v>5</v>
      </c>
      <c r="H10" s="7" t="s">
        <v>32</v>
      </c>
      <c r="I10" s="7" t="s">
        <v>33</v>
      </c>
      <c r="J10" s="4" t="s">
        <v>47</v>
      </c>
      <c r="K10" s="4" t="s">
        <v>48</v>
      </c>
      <c r="L10" s="4" t="s">
        <v>49</v>
      </c>
      <c r="M10" s="53" t="s">
        <v>50</v>
      </c>
      <c r="N10" s="4" t="s">
        <v>51</v>
      </c>
      <c r="O10" s="54">
        <f>BOM!H9</f>
        <v>0.05</v>
      </c>
      <c r="P10" s="54">
        <f>工序工时!AB10</f>
        <v>0</v>
      </c>
      <c r="Q10" s="54">
        <f t="shared" si="0"/>
        <v>0.004</v>
      </c>
      <c r="R10" s="56">
        <v>0</v>
      </c>
      <c r="S10" s="56">
        <v>0</v>
      </c>
      <c r="T10" s="54">
        <v>0</v>
      </c>
      <c r="U10" s="54">
        <v>0</v>
      </c>
      <c r="V10" s="54">
        <v>0</v>
      </c>
      <c r="W10" s="56">
        <v>0.03</v>
      </c>
      <c r="X10" s="54">
        <f>模检具!V9</f>
        <v>0</v>
      </c>
      <c r="Y10" s="55">
        <f t="shared" si="1"/>
        <v>0.084</v>
      </c>
      <c r="Z10" s="55">
        <v>0</v>
      </c>
      <c r="AA10" s="55">
        <v>0</v>
      </c>
      <c r="AB10" s="54">
        <f t="shared" si="2"/>
        <v>0.084</v>
      </c>
    </row>
    <row r="11" spans="1:31">
      <c r="A11" s="52">
        <v>46266</v>
      </c>
      <c r="B11" s="7" t="s">
        <v>28</v>
      </c>
      <c r="C11" s="7" t="s">
        <v>29</v>
      </c>
      <c r="D11" s="7" t="s">
        <v>30</v>
      </c>
      <c r="E11" s="7" t="s">
        <v>31</v>
      </c>
      <c r="F11" s="10">
        <v>50000</v>
      </c>
      <c r="G11" s="7">
        <v>5</v>
      </c>
      <c r="H11" s="7" t="s">
        <v>32</v>
      </c>
      <c r="I11" s="7" t="s">
        <v>33</v>
      </c>
      <c r="J11" s="4" t="s">
        <v>47</v>
      </c>
      <c r="K11" s="4" t="s">
        <v>48</v>
      </c>
      <c r="L11" s="4" t="s">
        <v>52</v>
      </c>
      <c r="M11" s="53" t="s">
        <v>50</v>
      </c>
      <c r="N11" s="4" t="s">
        <v>51</v>
      </c>
      <c r="O11" s="54">
        <f>BOM!H10</f>
        <v>0.05</v>
      </c>
      <c r="P11" s="54">
        <f>工序工时!AB11</f>
        <v>0</v>
      </c>
      <c r="Q11" s="54">
        <f t="shared" si="0"/>
        <v>0.004</v>
      </c>
      <c r="R11" s="56">
        <v>0</v>
      </c>
      <c r="S11" s="56">
        <v>0</v>
      </c>
      <c r="T11" s="54">
        <v>0</v>
      </c>
      <c r="U11" s="54">
        <v>0</v>
      </c>
      <c r="V11" s="54">
        <v>0</v>
      </c>
      <c r="W11" s="56">
        <v>0.03</v>
      </c>
      <c r="X11" s="54">
        <f>模检具!V10</f>
        <v>0</v>
      </c>
      <c r="Y11" s="55">
        <f t="shared" si="1"/>
        <v>0.084</v>
      </c>
      <c r="Z11" s="55">
        <v>0</v>
      </c>
      <c r="AA11" s="55">
        <v>0</v>
      </c>
      <c r="AB11" s="54">
        <f t="shared" si="2"/>
        <v>0.084</v>
      </c>
    </row>
    <row r="12" spans="1:31">
      <c r="A12" s="52">
        <v>46266</v>
      </c>
      <c r="B12" s="7" t="s">
        <v>28</v>
      </c>
      <c r="C12" s="7" t="s">
        <v>29</v>
      </c>
      <c r="D12" s="7" t="s">
        <v>30</v>
      </c>
      <c r="E12" s="7" t="s">
        <v>31</v>
      </c>
      <c r="F12" s="10">
        <v>50000</v>
      </c>
      <c r="G12" s="7">
        <v>5</v>
      </c>
      <c r="H12" s="7" t="s">
        <v>32</v>
      </c>
      <c r="I12" s="7" t="s">
        <v>33</v>
      </c>
      <c r="J12" s="4" t="s">
        <v>47</v>
      </c>
      <c r="K12" s="4" t="s">
        <v>48</v>
      </c>
      <c r="L12" s="4" t="s">
        <v>53</v>
      </c>
      <c r="M12" s="53" t="s">
        <v>50</v>
      </c>
      <c r="N12" s="4" t="s">
        <v>51</v>
      </c>
      <c r="O12" s="54">
        <f>BOM!H11</f>
        <v>0.05</v>
      </c>
      <c r="P12" s="54">
        <f>工序工时!AB12</f>
        <v>0</v>
      </c>
      <c r="Q12" s="54">
        <f t="shared" si="0"/>
        <v>0.004</v>
      </c>
      <c r="R12" s="56">
        <v>0</v>
      </c>
      <c r="S12" s="56">
        <v>0</v>
      </c>
      <c r="T12" s="54">
        <v>0</v>
      </c>
      <c r="U12" s="54">
        <v>0</v>
      </c>
      <c r="V12" s="54">
        <v>0</v>
      </c>
      <c r="W12" s="56">
        <v>0.03</v>
      </c>
      <c r="X12" s="54">
        <f>模检具!V11</f>
        <v>0</v>
      </c>
      <c r="Y12" s="55">
        <f t="shared" si="1"/>
        <v>0.084</v>
      </c>
      <c r="Z12" s="55">
        <v>0</v>
      </c>
      <c r="AA12" s="55">
        <v>0</v>
      </c>
      <c r="AB12" s="54">
        <f t="shared" si="2"/>
        <v>0.084</v>
      </c>
    </row>
    <row r="13" spans="1:31">
      <c r="A13" s="52">
        <v>46266</v>
      </c>
      <c r="B13" s="7" t="s">
        <v>28</v>
      </c>
      <c r="C13" s="7" t="s">
        <v>29</v>
      </c>
      <c r="D13" s="7" t="s">
        <v>30</v>
      </c>
      <c r="E13" s="7" t="s">
        <v>31</v>
      </c>
      <c r="F13" s="10">
        <v>50000</v>
      </c>
      <c r="G13" s="7">
        <v>5</v>
      </c>
      <c r="H13" s="7" t="s">
        <v>32</v>
      </c>
      <c r="I13" s="7" t="s">
        <v>33</v>
      </c>
      <c r="J13" s="4" t="s">
        <v>47</v>
      </c>
      <c r="K13" s="4" t="s">
        <v>48</v>
      </c>
      <c r="L13" s="4" t="s">
        <v>53</v>
      </c>
      <c r="M13" s="53" t="s">
        <v>50</v>
      </c>
      <c r="N13" s="4" t="s">
        <v>51</v>
      </c>
      <c r="O13" s="54">
        <f>BOM!H12</f>
        <v>0.05</v>
      </c>
      <c r="P13" s="54">
        <f>工序工时!AB13</f>
        <v>0</v>
      </c>
      <c r="Q13" s="54">
        <f t="shared" si="0"/>
        <v>0.004</v>
      </c>
      <c r="R13" s="56">
        <v>0</v>
      </c>
      <c r="S13" s="56">
        <v>0</v>
      </c>
      <c r="T13" s="54">
        <v>0</v>
      </c>
      <c r="U13" s="54">
        <v>0</v>
      </c>
      <c r="V13" s="54">
        <v>0</v>
      </c>
      <c r="W13" s="56">
        <v>0.03</v>
      </c>
      <c r="X13" s="54">
        <f>模检具!V12</f>
        <v>0</v>
      </c>
      <c r="Y13" s="55">
        <f t="shared" si="1"/>
        <v>0.084</v>
      </c>
      <c r="Z13" s="55">
        <v>0</v>
      </c>
      <c r="AA13" s="55">
        <v>0</v>
      </c>
      <c r="AB13" s="54">
        <f t="shared" si="2"/>
        <v>0.084</v>
      </c>
    </row>
    <row r="15" spans="1:31">
      <c r="O15" s="27" t="s">
        <v>54</v>
      </c>
    </row>
  </sheetData>
  <protectedRanges>
    <protectedRange sqref="L1" name="工程_5_1"/>
  </protectedRanges>
  <autoFilter xmlns:etc="http://www.wps.cn/officeDocument/2017/etCustomData" ref="A2:AD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51"/>
  <sheetViews>
    <sheetView zoomScale="115" zoomScaleNormal="115" topLeftCell="C1" workbookViewId="0">
      <pane ySplit="1" topLeftCell="A2" activePane="bottomLeft" state="frozen"/>
      <selection/>
      <selection pane="bottomLeft" activeCell="H1" sqref="H$1:H$1048576"/>
    </sheetView>
  </sheetViews>
  <sheetFormatPr defaultColWidth="9" defaultRowHeight="14.4"/>
  <cols>
    <col min="1" max="1" width="28.6388888888889" style="4" customWidth="1"/>
    <col min="2" max="2" width="18.5462962962963" style="4" customWidth="1"/>
    <col min="3" max="3" width="22.8703703703704" style="4" customWidth="1"/>
    <col min="4" max="4" width="52.3333333333333" style="32" customWidth="1"/>
    <col min="5" max="5" width="9" style="4"/>
    <col min="6" max="6" width="12.9074074074074" style="4"/>
    <col min="7" max="7" width="12.8703703703704" style="33"/>
    <col min="8" max="8" width="8.87037037037037" style="11"/>
    <col min="9" max="9" width="15.4907407407407" style="11" customWidth="1"/>
    <col min="10" max="10" width="29" style="4" customWidth="1"/>
    <col min="11" max="11" width="11.75" style="4" customWidth="1"/>
    <col min="12" max="12" width="9.62962962962963" style="4"/>
    <col min="13" max="16384" width="9" style="4"/>
  </cols>
  <sheetData>
    <row r="1" spans="1:10">
      <c r="A1" s="14" t="s">
        <v>10</v>
      </c>
      <c r="B1" s="14" t="s">
        <v>11</v>
      </c>
      <c r="C1" s="14" t="s">
        <v>13</v>
      </c>
      <c r="D1" s="34" t="s">
        <v>12</v>
      </c>
      <c r="E1" s="14" t="s">
        <v>55</v>
      </c>
      <c r="F1" s="14" t="s">
        <v>56</v>
      </c>
      <c r="G1" s="35" t="s">
        <v>57</v>
      </c>
      <c r="H1" s="11" t="s">
        <v>14</v>
      </c>
      <c r="I1" s="11" t="s">
        <v>58</v>
      </c>
      <c r="J1" s="4" t="s">
        <v>59</v>
      </c>
    </row>
    <row r="2" s="7" customFormat="1" ht="58" customHeight="1" spans="1:10">
      <c r="A2" s="36" t="s">
        <v>35</v>
      </c>
      <c r="B2" s="37" t="s">
        <v>36</v>
      </c>
      <c r="C2" s="36" t="s">
        <v>38</v>
      </c>
      <c r="D2" s="38" t="s">
        <v>60</v>
      </c>
      <c r="E2" s="39" t="s">
        <v>61</v>
      </c>
      <c r="F2" s="40">
        <f>1.6*0.38/15</f>
        <v>0.0405333333333333</v>
      </c>
      <c r="G2" s="41">
        <f>13.5*0.4</f>
        <v>5.4</v>
      </c>
      <c r="H2" s="41">
        <f t="shared" ref="H2:H7" si="0">F2*G2</f>
        <v>0.21888</v>
      </c>
      <c r="I2" s="41"/>
      <c r="J2" s="42"/>
    </row>
    <row r="3" s="7" customFormat="1" ht="56" customHeight="1" spans="1:10">
      <c r="A3" s="36" t="s">
        <v>35</v>
      </c>
      <c r="B3" s="36" t="s">
        <v>39</v>
      </c>
      <c r="C3" s="36" t="s">
        <v>38</v>
      </c>
      <c r="D3" s="38" t="s">
        <v>60</v>
      </c>
      <c r="E3" s="39" t="s">
        <v>61</v>
      </c>
      <c r="F3" s="40">
        <f>1.6*0.38/15</f>
        <v>0.0405333333333333</v>
      </c>
      <c r="G3" s="41">
        <f t="shared" ref="G3:G8" si="1">13.5*0.4</f>
        <v>5.4</v>
      </c>
      <c r="H3" s="41">
        <f t="shared" si="0"/>
        <v>0.21888</v>
      </c>
      <c r="I3" s="41"/>
      <c r="J3" s="42"/>
    </row>
    <row r="4" ht="47" customHeight="1" spans="1:10">
      <c r="A4" s="43" t="s">
        <v>35</v>
      </c>
      <c r="B4" s="43" t="s">
        <v>40</v>
      </c>
      <c r="C4" s="43" t="s">
        <v>41</v>
      </c>
      <c r="D4" s="38" t="s">
        <v>62</v>
      </c>
      <c r="E4" s="39" t="s">
        <v>61</v>
      </c>
      <c r="F4" s="44">
        <f t="shared" ref="F4:F6" si="2">1.6*0.43/14</f>
        <v>0.0491428571428571</v>
      </c>
      <c r="G4" s="41">
        <f t="shared" si="1"/>
        <v>5.4</v>
      </c>
      <c r="H4" s="41">
        <f t="shared" si="0"/>
        <v>0.265371428571429</v>
      </c>
      <c r="I4" s="45"/>
      <c r="J4" s="46"/>
    </row>
    <row r="5" ht="56" customHeight="1" spans="1:10">
      <c r="A5" s="43" t="s">
        <v>35</v>
      </c>
      <c r="B5" s="43" t="s">
        <v>42</v>
      </c>
      <c r="C5" s="43" t="s">
        <v>41</v>
      </c>
      <c r="D5" s="38" t="s">
        <v>62</v>
      </c>
      <c r="E5" s="39" t="s">
        <v>61</v>
      </c>
      <c r="F5" s="44">
        <f t="shared" si="2"/>
        <v>0.0491428571428571</v>
      </c>
      <c r="G5" s="41">
        <f t="shared" si="1"/>
        <v>5.4</v>
      </c>
      <c r="H5" s="41">
        <f t="shared" si="0"/>
        <v>0.265371428571429</v>
      </c>
      <c r="I5" s="45"/>
      <c r="J5" s="46"/>
    </row>
    <row r="6" ht="51" customHeight="1" spans="1:10">
      <c r="A6" s="43" t="s">
        <v>35</v>
      </c>
      <c r="B6" s="43" t="s">
        <v>43</v>
      </c>
      <c r="C6" s="43" t="s">
        <v>41</v>
      </c>
      <c r="D6" s="38" t="s">
        <v>62</v>
      </c>
      <c r="E6" s="39" t="s">
        <v>61</v>
      </c>
      <c r="F6" s="44">
        <f t="shared" si="2"/>
        <v>0.0491428571428571</v>
      </c>
      <c r="G6" s="41">
        <f t="shared" si="1"/>
        <v>5.4</v>
      </c>
      <c r="H6" s="41">
        <f t="shared" si="0"/>
        <v>0.265371428571429</v>
      </c>
      <c r="I6" s="45"/>
      <c r="J6" s="46"/>
    </row>
    <row r="7" ht="48" customHeight="1" spans="1:10">
      <c r="A7" s="43" t="s">
        <v>35</v>
      </c>
      <c r="B7" s="43" t="s">
        <v>44</v>
      </c>
      <c r="C7" s="43" t="s">
        <v>45</v>
      </c>
      <c r="D7" s="38" t="s">
        <v>63</v>
      </c>
      <c r="E7" s="39" t="s">
        <v>61</v>
      </c>
      <c r="F7" s="44">
        <f>1.6*0.62/9</f>
        <v>0.110222222222222</v>
      </c>
      <c r="G7" s="41">
        <f t="shared" si="1"/>
        <v>5.4</v>
      </c>
      <c r="H7" s="41">
        <f t="shared" si="0"/>
        <v>0.5952</v>
      </c>
      <c r="I7" s="45"/>
      <c r="J7" s="46"/>
    </row>
    <row r="8" ht="51" customHeight="1" spans="1:10">
      <c r="A8" s="43" t="s">
        <v>35</v>
      </c>
      <c r="B8" s="43" t="s">
        <v>46</v>
      </c>
      <c r="C8" s="43" t="s">
        <v>45</v>
      </c>
      <c r="D8" s="38" t="s">
        <v>63</v>
      </c>
      <c r="E8" s="39" t="s">
        <v>61</v>
      </c>
      <c r="F8" s="44">
        <f>1.6*0.62/9</f>
        <v>0.110222222222222</v>
      </c>
      <c r="G8" s="41">
        <f t="shared" si="1"/>
        <v>5.4</v>
      </c>
      <c r="H8" s="41">
        <f>F7*G7</f>
        <v>0.5952</v>
      </c>
      <c r="I8" s="45"/>
      <c r="J8" s="46"/>
    </row>
    <row r="9" ht="43" customHeight="1" spans="1:10">
      <c r="A9" s="43" t="s">
        <v>48</v>
      </c>
      <c r="B9" s="43" t="s">
        <v>49</v>
      </c>
      <c r="C9" s="43" t="s">
        <v>51</v>
      </c>
      <c r="D9" s="47" t="s">
        <v>64</v>
      </c>
      <c r="E9" s="43" t="s">
        <v>65</v>
      </c>
      <c r="F9" s="44"/>
      <c r="G9" s="48"/>
      <c r="H9" s="45">
        <v>0.05</v>
      </c>
      <c r="I9" s="45" t="s">
        <v>66</v>
      </c>
      <c r="J9" s="46"/>
    </row>
    <row r="10" ht="46" customHeight="1" spans="1:10">
      <c r="A10" s="43" t="s">
        <v>48</v>
      </c>
      <c r="B10" s="43" t="s">
        <v>52</v>
      </c>
      <c r="C10" s="43" t="s">
        <v>51</v>
      </c>
      <c r="D10" s="47" t="s">
        <v>64</v>
      </c>
      <c r="E10" s="43" t="s">
        <v>65</v>
      </c>
      <c r="F10" s="44"/>
      <c r="G10" s="48"/>
      <c r="H10" s="45">
        <v>0.05</v>
      </c>
      <c r="I10" s="45" t="s">
        <v>66</v>
      </c>
      <c r="J10" s="46"/>
    </row>
    <row r="11" ht="38" customHeight="1" spans="1:10">
      <c r="A11" s="43" t="s">
        <v>48</v>
      </c>
      <c r="B11" s="43" t="s">
        <v>53</v>
      </c>
      <c r="C11" s="43" t="s">
        <v>51</v>
      </c>
      <c r="D11" s="47" t="s">
        <v>64</v>
      </c>
      <c r="E11" s="43" t="s">
        <v>65</v>
      </c>
      <c r="F11" s="44"/>
      <c r="G11" s="48"/>
      <c r="H11" s="45">
        <v>0.05</v>
      </c>
      <c r="I11" s="45" t="s">
        <v>66</v>
      </c>
      <c r="J11" s="46"/>
    </row>
    <row r="12" ht="40" customHeight="1" spans="1:10">
      <c r="A12" s="43" t="s">
        <v>48</v>
      </c>
      <c r="B12" s="43" t="s">
        <v>53</v>
      </c>
      <c r="C12" s="43" t="s">
        <v>51</v>
      </c>
      <c r="D12" s="47" t="s">
        <v>64</v>
      </c>
      <c r="E12" s="43" t="s">
        <v>65</v>
      </c>
      <c r="F12" s="44"/>
      <c r="G12" s="48"/>
      <c r="H12" s="45">
        <v>0.05</v>
      </c>
      <c r="I12" s="45" t="s">
        <v>66</v>
      </c>
      <c r="J12" s="46"/>
    </row>
    <row r="13" ht="17.35" customHeight="1" spans="1:10">
      <c r="J13" s="46"/>
    </row>
    <row r="14" ht="17.35" customHeight="1" spans="1:10">
      <c r="J14" s="46"/>
    </row>
    <row r="15" ht="17.35" customHeight="1" spans="1:10">
      <c r="J15" s="46"/>
    </row>
    <row r="16" ht="17.35" customHeight="1" spans="1:10">
      <c r="J16" s="46"/>
    </row>
    <row r="17" ht="17.35" customHeight="1" spans="10:10">
      <c r="J17" s="46"/>
    </row>
    <row r="18" ht="17.35" customHeight="1" spans="10:10">
      <c r="J18" s="46"/>
    </row>
    <row r="19" ht="17.35" customHeight="1" spans="10:10">
      <c r="J19" s="46"/>
    </row>
    <row r="20" ht="17.35" customHeight="1" spans="10:10">
      <c r="J20" s="46"/>
    </row>
    <row r="21" ht="17.35" customHeight="1" spans="10:10">
      <c r="J21" s="46"/>
    </row>
    <row r="22" ht="17.35" customHeight="1" spans="10:10">
      <c r="J22" s="46"/>
    </row>
    <row r="23" ht="17.35" customHeight="1" spans="10:10">
      <c r="J23" s="46"/>
    </row>
    <row r="24" ht="17.35" customHeight="1"/>
    <row r="25" ht="17.35" customHeight="1"/>
    <row r="26" ht="17.35" customHeight="1"/>
    <row r="27" ht="17.35" customHeight="1"/>
    <row r="28" ht="17.35" customHeight="1"/>
    <row r="29" ht="17.35" customHeight="1"/>
    <row r="30" ht="17.35" customHeight="1"/>
    <row r="31" ht="17.35" customHeight="1"/>
    <row r="32" ht="17.35" customHeight="1"/>
    <row r="33" ht="17.35" customHeight="1"/>
    <row r="34" ht="17.35" customHeight="1"/>
    <row r="35" ht="17.35" customHeight="1"/>
    <row r="36" ht="17.35" customHeight="1"/>
    <row r="37" ht="17.35" customHeight="1"/>
    <row r="38" ht="17.35" customHeight="1"/>
    <row r="39" ht="17.35" customHeight="1"/>
    <row r="40" ht="17.35" customHeight="1"/>
    <row r="41" ht="17.35" customHeight="1"/>
    <row r="42" ht="17.35" customHeight="1"/>
    <row r="43" ht="17.35" customHeight="1"/>
    <row r="44" ht="17.35" customHeight="1"/>
    <row r="45" ht="17.35" customHeight="1"/>
    <row r="46" ht="17.35" customHeight="1"/>
    <row r="47" ht="17.35" customHeight="1"/>
    <row r="48" ht="17.35" customHeight="1"/>
    <row r="49" ht="17.35" customHeight="1"/>
    <row r="50" ht="17.35" customHeight="1"/>
    <row r="51" ht="17.35" customHeight="1"/>
  </sheetData>
  <protectedRanges>
    <protectedRange sqref="A3:A19" name="工程_5"/>
    <protectedRange sqref="B3:B4 B5:C19" name="工程_6"/>
    <protectedRange sqref="A55" name="工程_9"/>
    <protectedRange sqref="B55:C55" name="工程_10"/>
    <protectedRange sqref="A57" name="工程_11"/>
    <protectedRange sqref="B57:C57" name="工程_12"/>
    <protectedRange sqref="E2:H2 F3" name="工程_13"/>
  </protectedRanges>
  <autoFilter xmlns:etc="http://www.wps.cn/officeDocument/2017/etCustomData" ref="A1:M59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B13"/>
  <sheetViews>
    <sheetView workbookViewId="0">
      <pane ySplit="2" topLeftCell="A3" activePane="bottomLeft" state="frozen"/>
      <selection/>
      <selection pane="bottomLeft" activeCell="AB3" sqref="AB3:AB9"/>
    </sheetView>
  </sheetViews>
  <sheetFormatPr defaultColWidth="9" defaultRowHeight="14.4"/>
  <cols>
    <col min="1" max="1" width="14.6388888888889" style="4" customWidth="1"/>
    <col min="2" max="2" width="20" style="4" customWidth="1"/>
    <col min="3" max="3" width="11.8148148148148" style="4" customWidth="1"/>
    <col min="4" max="4" width="8.12962962962963" style="4" customWidth="1"/>
    <col min="5" max="5" width="7" style="4" customWidth="1"/>
    <col min="6" max="6" width="9.87037037037037" style="4" customWidth="1"/>
    <col min="7" max="7" width="9" style="4"/>
    <col min="8" max="8" width="7.75" style="4" customWidth="1"/>
    <col min="9" max="9" width="7.5" style="4" customWidth="1"/>
    <col min="10" max="10" width="8.75" style="4" customWidth="1"/>
    <col min="11" max="11" width="6.25" style="4" customWidth="1"/>
    <col min="12" max="13" width="7.12962962962963" style="4" customWidth="1"/>
    <col min="14" max="14" width="5.75" style="4" customWidth="1"/>
    <col min="15" max="15" width="11.75" style="4" customWidth="1"/>
    <col min="16" max="16" width="7.12962962962963" style="4" customWidth="1"/>
    <col min="17" max="17" width="7" style="4" customWidth="1"/>
    <col min="18" max="18" width="6.62962962962963" style="4" customWidth="1"/>
    <col min="19" max="19" width="7.37037037037037" style="4" customWidth="1"/>
    <col min="20" max="20" width="6.62962962962963" style="4" customWidth="1"/>
    <col min="21" max="21" width="9" style="4" customWidth="1"/>
    <col min="22" max="22" width="9" style="4"/>
    <col min="23" max="23" width="5.62962962962963" style="4" customWidth="1"/>
    <col min="24" max="24" width="7.12962962962963" style="13" customWidth="1"/>
    <col min="25" max="26" width="8.5" style="12" customWidth="1"/>
    <col min="27" max="27" width="9.5" style="12" customWidth="1"/>
    <col min="28" max="28" width="9.5" style="4" customWidth="1"/>
    <col min="29" max="29" width="9.62962962962963" style="4"/>
    <col min="30" max="16384" width="9" style="4"/>
  </cols>
  <sheetData>
    <row r="1" s="4" customFormat="1" spans="1:28">
      <c r="D1" s="30"/>
      <c r="E1" s="30"/>
      <c r="X1" s="13"/>
      <c r="Y1" s="12"/>
      <c r="Z1" s="12"/>
      <c r="AA1" s="12"/>
    </row>
    <row r="2" s="4" customFormat="1" spans="1:28">
      <c r="A2" s="14" t="s">
        <v>10</v>
      </c>
      <c r="B2" s="14" t="s">
        <v>11</v>
      </c>
      <c r="C2" s="14"/>
      <c r="D2" s="14" t="s">
        <v>67</v>
      </c>
      <c r="E2" s="14" t="s">
        <v>68</v>
      </c>
      <c r="F2" s="14" t="s">
        <v>69</v>
      </c>
      <c r="G2" s="14" t="s">
        <v>70</v>
      </c>
      <c r="H2" s="14" t="s">
        <v>68</v>
      </c>
      <c r="I2" s="14" t="s">
        <v>69</v>
      </c>
      <c r="J2" s="14" t="s">
        <v>71</v>
      </c>
      <c r="K2" s="14" t="s">
        <v>68</v>
      </c>
      <c r="L2" s="14" t="s">
        <v>69</v>
      </c>
      <c r="M2" s="14" t="s">
        <v>72</v>
      </c>
      <c r="N2" s="14" t="s">
        <v>68</v>
      </c>
      <c r="O2" s="14" t="s">
        <v>69</v>
      </c>
      <c r="P2" s="14" t="s">
        <v>73</v>
      </c>
      <c r="Q2" s="14" t="s">
        <v>68</v>
      </c>
      <c r="R2" s="14" t="s">
        <v>69</v>
      </c>
      <c r="S2" s="14" t="s">
        <v>74</v>
      </c>
      <c r="T2" s="14" t="s">
        <v>68</v>
      </c>
      <c r="U2" s="14" t="s">
        <v>69</v>
      </c>
      <c r="V2" s="14" t="s">
        <v>75</v>
      </c>
      <c r="W2" s="14" t="s">
        <v>68</v>
      </c>
      <c r="X2" s="14" t="s">
        <v>69</v>
      </c>
      <c r="Y2" s="12" t="s">
        <v>33</v>
      </c>
      <c r="Z2" s="7" t="s">
        <v>76</v>
      </c>
      <c r="AA2" s="12" t="s">
        <v>77</v>
      </c>
      <c r="AB2" s="4" t="s">
        <v>78</v>
      </c>
    </row>
    <row r="3" s="7" customFormat="1" ht="22" customHeight="1" spans="1:28">
      <c r="A3" s="7" t="s">
        <v>35</v>
      </c>
      <c r="B3" s="7" t="s">
        <v>36</v>
      </c>
      <c r="C3" s="7">
        <v>15</v>
      </c>
      <c r="D3" s="7" t="s">
        <v>33</v>
      </c>
      <c r="E3" s="7">
        <v>1</v>
      </c>
      <c r="F3" s="9">
        <f t="shared" ref="F3:F9" si="0">40/C3</f>
        <v>2.66666666666667</v>
      </c>
      <c r="G3" s="7" t="s">
        <v>77</v>
      </c>
      <c r="H3" s="7">
        <v>1</v>
      </c>
      <c r="I3" s="9">
        <f t="shared" ref="I3:I9" si="1">F3</f>
        <v>2.66666666666667</v>
      </c>
      <c r="X3" s="31"/>
      <c r="Y3" s="9">
        <f>E3*25/3600*F3+60/3600*F3</f>
        <v>0.062962962962963</v>
      </c>
      <c r="AA3" s="9">
        <f>H3*25/3600*I3</f>
        <v>0.0185185185185185</v>
      </c>
      <c r="AB3" s="9">
        <f>SUM(Y3:AA3)</f>
        <v>0.0814814814814815</v>
      </c>
    </row>
    <row r="4" spans="1:28">
      <c r="A4" s="4" t="s">
        <v>35</v>
      </c>
      <c r="B4" s="4" t="s">
        <v>39</v>
      </c>
      <c r="C4" s="4">
        <v>15</v>
      </c>
      <c r="D4" s="7" t="s">
        <v>33</v>
      </c>
      <c r="E4" s="7">
        <v>1</v>
      </c>
      <c r="F4" s="9">
        <f t="shared" si="0"/>
        <v>2.66666666666667</v>
      </c>
      <c r="G4" s="7" t="s">
        <v>77</v>
      </c>
      <c r="H4" s="7">
        <v>1</v>
      </c>
      <c r="I4" s="9">
        <f t="shared" si="1"/>
        <v>2.66666666666667</v>
      </c>
      <c r="Y4" s="9">
        <f t="shared" ref="Y4:Y9" si="2">E4*25/3600*F4+60/3600*F4</f>
        <v>0.062962962962963</v>
      </c>
      <c r="AA4" s="9">
        <f t="shared" ref="AA4:AA9" si="3">H4*25/3600*I4</f>
        <v>0.0185185185185185</v>
      </c>
      <c r="AB4" s="9">
        <f t="shared" ref="AB4:AB10" si="4">SUM(Y4:AA4)</f>
        <v>0.0814814814814815</v>
      </c>
    </row>
    <row r="5" spans="1:28">
      <c r="A5" s="4" t="s">
        <v>35</v>
      </c>
      <c r="B5" s="4" t="s">
        <v>40</v>
      </c>
      <c r="C5" s="4">
        <v>14</v>
      </c>
      <c r="D5" s="7" t="s">
        <v>33</v>
      </c>
      <c r="E5" s="7">
        <v>1</v>
      </c>
      <c r="F5" s="9">
        <f t="shared" si="0"/>
        <v>2.85714285714286</v>
      </c>
      <c r="G5" s="7" t="s">
        <v>77</v>
      </c>
      <c r="H5" s="7">
        <v>1</v>
      </c>
      <c r="I5" s="9">
        <f t="shared" si="1"/>
        <v>2.85714285714286</v>
      </c>
      <c r="Y5" s="9">
        <f t="shared" si="2"/>
        <v>0.0674603174603175</v>
      </c>
      <c r="AA5" s="9">
        <f t="shared" si="3"/>
        <v>0.0198412698412698</v>
      </c>
      <c r="AB5" s="9">
        <f t="shared" si="4"/>
        <v>0.0873015873015873</v>
      </c>
    </row>
    <row r="6" spans="1:28">
      <c r="A6" s="4" t="s">
        <v>35</v>
      </c>
      <c r="B6" s="4" t="s">
        <v>42</v>
      </c>
      <c r="C6" s="4">
        <v>14</v>
      </c>
      <c r="D6" s="7" t="s">
        <v>33</v>
      </c>
      <c r="E6" s="7">
        <v>1</v>
      </c>
      <c r="F6" s="9">
        <f t="shared" si="0"/>
        <v>2.85714285714286</v>
      </c>
      <c r="G6" s="7" t="s">
        <v>77</v>
      </c>
      <c r="H6" s="7">
        <v>1</v>
      </c>
      <c r="I6" s="9">
        <f t="shared" si="1"/>
        <v>2.85714285714286</v>
      </c>
      <c r="Y6" s="9">
        <f t="shared" si="2"/>
        <v>0.0674603174603175</v>
      </c>
      <c r="Z6" s="9"/>
      <c r="AA6" s="9">
        <f t="shared" si="3"/>
        <v>0.0198412698412698</v>
      </c>
      <c r="AB6" s="9">
        <f t="shared" si="4"/>
        <v>0.0873015873015873</v>
      </c>
    </row>
    <row r="7" spans="1:28">
      <c r="A7" s="4" t="s">
        <v>35</v>
      </c>
      <c r="B7" s="4" t="s">
        <v>43</v>
      </c>
      <c r="C7" s="4">
        <v>14</v>
      </c>
      <c r="D7" s="7" t="s">
        <v>33</v>
      </c>
      <c r="E7" s="7">
        <v>1</v>
      </c>
      <c r="F7" s="9">
        <f t="shared" si="0"/>
        <v>2.85714285714286</v>
      </c>
      <c r="G7" s="7" t="s">
        <v>77</v>
      </c>
      <c r="H7" s="7">
        <v>1</v>
      </c>
      <c r="I7" s="9">
        <f t="shared" si="1"/>
        <v>2.85714285714286</v>
      </c>
      <c r="Y7" s="9">
        <f t="shared" si="2"/>
        <v>0.0674603174603175</v>
      </c>
      <c r="AA7" s="9">
        <f t="shared" si="3"/>
        <v>0.0198412698412698</v>
      </c>
      <c r="AB7" s="9">
        <f t="shared" si="4"/>
        <v>0.0873015873015873</v>
      </c>
    </row>
    <row r="8" spans="1:28">
      <c r="A8" s="4" t="s">
        <v>35</v>
      </c>
      <c r="B8" s="4" t="s">
        <v>44</v>
      </c>
      <c r="C8" s="4">
        <v>9</v>
      </c>
      <c r="D8" s="7" t="s">
        <v>33</v>
      </c>
      <c r="E8" s="7">
        <v>1</v>
      </c>
      <c r="F8" s="9">
        <f>30/C8</f>
        <v>3.33333333333333</v>
      </c>
      <c r="G8" s="7" t="s">
        <v>77</v>
      </c>
      <c r="H8" s="7">
        <v>1</v>
      </c>
      <c r="I8" s="9">
        <f t="shared" si="1"/>
        <v>3.33333333333333</v>
      </c>
      <c r="Y8" s="9">
        <f t="shared" si="2"/>
        <v>0.0787037037037036</v>
      </c>
      <c r="AA8" s="9">
        <f t="shared" si="3"/>
        <v>0.0231481481481481</v>
      </c>
      <c r="AB8" s="9">
        <f t="shared" si="4"/>
        <v>0.101851851851852</v>
      </c>
    </row>
    <row r="9" spans="1:28">
      <c r="A9" s="4" t="s">
        <v>35</v>
      </c>
      <c r="B9" s="4" t="s">
        <v>46</v>
      </c>
      <c r="C9" s="4">
        <v>9</v>
      </c>
      <c r="D9" s="7" t="s">
        <v>33</v>
      </c>
      <c r="E9" s="7">
        <v>1</v>
      </c>
      <c r="F9" s="9">
        <f>30/C9</f>
        <v>3.33333333333333</v>
      </c>
      <c r="G9" s="7" t="s">
        <v>77</v>
      </c>
      <c r="H9" s="7">
        <v>1</v>
      </c>
      <c r="I9" s="9">
        <f t="shared" si="1"/>
        <v>3.33333333333333</v>
      </c>
      <c r="Y9" s="9">
        <f t="shared" si="2"/>
        <v>0.0787037037037036</v>
      </c>
      <c r="AA9" s="9">
        <f t="shared" si="3"/>
        <v>0.0231481481481481</v>
      </c>
      <c r="AB9" s="9">
        <f t="shared" si="4"/>
        <v>0.101851851851852</v>
      </c>
    </row>
    <row r="10" spans="1:28">
      <c r="A10" s="4" t="s">
        <v>48</v>
      </c>
      <c r="B10" s="4" t="s">
        <v>49</v>
      </c>
      <c r="D10" s="7" t="s">
        <v>79</v>
      </c>
      <c r="E10" s="7"/>
      <c r="F10" s="7"/>
      <c r="G10" s="7"/>
      <c r="AB10" s="9"/>
    </row>
    <row r="11" spans="1:28">
      <c r="A11" s="4" t="s">
        <v>48</v>
      </c>
      <c r="B11" s="4" t="s">
        <v>52</v>
      </c>
      <c r="D11" s="7" t="s">
        <v>79</v>
      </c>
    </row>
    <row r="12" spans="1:28">
      <c r="A12" s="4" t="s">
        <v>48</v>
      </c>
      <c r="B12" s="4" t="s">
        <v>53</v>
      </c>
      <c r="D12" s="7" t="s">
        <v>79</v>
      </c>
    </row>
    <row r="13" spans="1:28">
      <c r="A13" s="4" t="s">
        <v>48</v>
      </c>
      <c r="B13" s="4" t="s">
        <v>53</v>
      </c>
      <c r="D13" s="7" t="s">
        <v>79</v>
      </c>
    </row>
  </sheetData>
  <protectedRanges>
    <protectedRange sqref="A3" name="工程_4_1_1"/>
    <protectedRange sqref="B3 E3 E4 E5 E6 H6 E7 H7 E8 E9 H8 H9" name="工程_8"/>
    <protectedRange sqref="A3" name="工程_4_1_1_1"/>
  </protectedRanges>
  <autoFilter xmlns:etc="http://www.wps.cn/officeDocument/2017/etCustomData" ref="A2:AC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V20"/>
  <sheetViews>
    <sheetView topLeftCell="L1" workbookViewId="0">
      <pane ySplit="1" topLeftCell="A2" activePane="bottomLeft" state="frozen"/>
      <selection/>
      <selection pane="bottomLeft" activeCell="V2" sqref="V2"/>
    </sheetView>
  </sheetViews>
  <sheetFormatPr defaultColWidth="9" defaultRowHeight="14.4"/>
  <cols>
    <col min="1" max="1" width="28.6388888888889" style="4" customWidth="1"/>
    <col min="2" max="2" width="17.0925925925926" style="4" customWidth="1"/>
    <col min="3" max="3" width="9.44444444444444" style="4" customWidth="1"/>
    <col min="4" max="4" width="12.3333333333333" style="4" customWidth="1"/>
    <col min="5" max="5" width="10" style="4" customWidth="1"/>
    <col min="6" max="6" width="10.8888888888889" style="4" customWidth="1"/>
    <col min="7" max="7" width="7.22222222222222" style="11" customWidth="1"/>
    <col min="8" max="9" width="7.22222222222222" style="4" customWidth="1"/>
    <col min="10" max="10" width="7.22222222222222" style="11" customWidth="1"/>
    <col min="11" max="16" width="7.22222222222222" style="4" customWidth="1"/>
    <col min="17" max="17" width="12.8703703703704" style="4"/>
    <col min="18" max="18" width="9" style="4"/>
    <col min="19" max="19" width="12.8703703703704" style="4"/>
    <col min="20" max="20" width="12.8148148148148" style="4"/>
    <col min="21" max="21" width="8.77777777777778" style="4" customWidth="1"/>
    <col min="22" max="22" width="12.8703703703704" style="27"/>
    <col min="23" max="16384" width="9" style="4"/>
  </cols>
  <sheetData>
    <row r="1" s="4" customFormat="1" spans="1:22">
      <c r="A1" s="14" t="s">
        <v>10</v>
      </c>
      <c r="B1" s="14" t="s">
        <v>11</v>
      </c>
      <c r="C1" s="14" t="s">
        <v>80</v>
      </c>
      <c r="D1" s="14" t="s">
        <v>81</v>
      </c>
      <c r="E1" s="17" t="s">
        <v>82</v>
      </c>
      <c r="F1" s="17" t="s">
        <v>83</v>
      </c>
      <c r="G1" s="28" t="s">
        <v>84</v>
      </c>
      <c r="H1" s="17" t="s">
        <v>83</v>
      </c>
      <c r="I1" s="17" t="s">
        <v>85</v>
      </c>
      <c r="J1" s="28" t="s">
        <v>83</v>
      </c>
      <c r="K1" s="17" t="s">
        <v>86</v>
      </c>
      <c r="L1" s="17" t="s">
        <v>83</v>
      </c>
      <c r="M1" s="17" t="s">
        <v>87</v>
      </c>
      <c r="N1" s="17" t="s">
        <v>83</v>
      </c>
      <c r="O1" s="17" t="s">
        <v>88</v>
      </c>
      <c r="P1" s="17" t="s">
        <v>83</v>
      </c>
      <c r="Q1" s="27" t="s">
        <v>89</v>
      </c>
      <c r="R1" s="4" t="s">
        <v>90</v>
      </c>
      <c r="S1" s="11" t="s">
        <v>91</v>
      </c>
      <c r="T1" s="5" t="s">
        <v>92</v>
      </c>
      <c r="U1" s="5" t="s">
        <v>6</v>
      </c>
      <c r="V1" s="27" t="s">
        <v>93</v>
      </c>
    </row>
    <row r="2" s="7" customFormat="1" ht="27" customHeight="1" spans="1:22">
      <c r="A2" s="7" t="s">
        <v>35</v>
      </c>
      <c r="B2" s="7" t="s">
        <v>36</v>
      </c>
      <c r="C2" s="7">
        <v>15</v>
      </c>
      <c r="D2" s="10">
        <f t="shared" ref="D2:D8" si="0">T2*U2/20000/C2</f>
        <v>0.833333333333333</v>
      </c>
      <c r="E2" s="7" t="s">
        <v>94</v>
      </c>
      <c r="F2" s="7">
        <v>2800</v>
      </c>
      <c r="G2" s="9" t="s">
        <v>95</v>
      </c>
      <c r="H2" s="10">
        <v>200</v>
      </c>
      <c r="J2" s="9"/>
      <c r="L2" s="10"/>
      <c r="Q2" s="9">
        <f t="shared" ref="Q2:Q8" si="1">F2+H2+J2+L2+N2+P2</f>
        <v>3000</v>
      </c>
      <c r="R2" s="7">
        <v>1.13</v>
      </c>
      <c r="S2" s="10">
        <f t="shared" ref="S2:S8" si="2">Q2/R2</f>
        <v>2654.86725663717</v>
      </c>
      <c r="T2" s="7">
        <f>成本!F3</f>
        <v>50000</v>
      </c>
      <c r="U2" s="7">
        <f>成本!G3</f>
        <v>5</v>
      </c>
      <c r="V2" s="29">
        <f t="shared" ref="V2:V8" si="3">S2/T2/U2</f>
        <v>0.0106194690265487</v>
      </c>
    </row>
    <row r="3" spans="1:22">
      <c r="A3" s="4" t="s">
        <v>35</v>
      </c>
      <c r="B3" s="4" t="s">
        <v>39</v>
      </c>
      <c r="C3" s="4">
        <v>15</v>
      </c>
      <c r="D3" s="10">
        <f t="shared" si="0"/>
        <v>0.833333333333333</v>
      </c>
      <c r="E3" s="7" t="s">
        <v>94</v>
      </c>
      <c r="F3" s="7">
        <v>2800</v>
      </c>
      <c r="G3" s="9" t="s">
        <v>95</v>
      </c>
      <c r="H3" s="10">
        <v>200</v>
      </c>
      <c r="Q3" s="9">
        <f t="shared" si="1"/>
        <v>3000</v>
      </c>
      <c r="R3" s="7">
        <v>1.13</v>
      </c>
      <c r="S3" s="10">
        <f t="shared" si="2"/>
        <v>2654.86725663717</v>
      </c>
      <c r="T3" s="7">
        <f>成本!F4</f>
        <v>50000</v>
      </c>
      <c r="U3" s="7">
        <f>成本!G4</f>
        <v>5</v>
      </c>
      <c r="V3" s="29">
        <f t="shared" si="3"/>
        <v>0.0106194690265487</v>
      </c>
    </row>
    <row r="4" spans="1:22">
      <c r="A4" s="4" t="s">
        <v>35</v>
      </c>
      <c r="B4" s="4" t="s">
        <v>40</v>
      </c>
      <c r="C4" s="4">
        <v>14</v>
      </c>
      <c r="D4" s="10">
        <f t="shared" si="0"/>
        <v>0.892857142857143</v>
      </c>
      <c r="E4" s="7" t="s">
        <v>94</v>
      </c>
      <c r="F4" s="7">
        <v>2800</v>
      </c>
      <c r="G4" s="9" t="s">
        <v>95</v>
      </c>
      <c r="H4" s="10">
        <v>200</v>
      </c>
      <c r="Q4" s="9">
        <f t="shared" si="1"/>
        <v>3000</v>
      </c>
      <c r="R4" s="7">
        <v>1.13</v>
      </c>
      <c r="S4" s="10">
        <f t="shared" si="2"/>
        <v>2654.86725663717</v>
      </c>
      <c r="T4" s="7">
        <f>成本!F5</f>
        <v>50000</v>
      </c>
      <c r="U4" s="7">
        <f>成本!G5</f>
        <v>5</v>
      </c>
      <c r="V4" s="29">
        <f t="shared" si="3"/>
        <v>0.0106194690265487</v>
      </c>
    </row>
    <row r="5" spans="1:22">
      <c r="A5" s="4" t="s">
        <v>35</v>
      </c>
      <c r="B5" s="4" t="s">
        <v>42</v>
      </c>
      <c r="C5" s="4">
        <v>14</v>
      </c>
      <c r="D5" s="10">
        <f t="shared" si="0"/>
        <v>0.892857142857143</v>
      </c>
      <c r="E5" s="7" t="s">
        <v>94</v>
      </c>
      <c r="F5" s="7">
        <v>2800</v>
      </c>
      <c r="G5" s="9" t="s">
        <v>95</v>
      </c>
      <c r="H5" s="10">
        <v>200</v>
      </c>
      <c r="Q5" s="9">
        <f t="shared" si="1"/>
        <v>3000</v>
      </c>
      <c r="R5" s="7">
        <v>1.13</v>
      </c>
      <c r="S5" s="10">
        <f t="shared" si="2"/>
        <v>2654.86725663717</v>
      </c>
      <c r="T5" s="7">
        <f>成本!F6</f>
        <v>50000</v>
      </c>
      <c r="U5" s="7">
        <f>成本!G6</f>
        <v>5</v>
      </c>
      <c r="V5" s="29">
        <f t="shared" si="3"/>
        <v>0.0106194690265487</v>
      </c>
    </row>
    <row r="6" spans="1:22">
      <c r="A6" s="4" t="s">
        <v>35</v>
      </c>
      <c r="B6" s="4" t="s">
        <v>43</v>
      </c>
      <c r="C6" s="4">
        <v>14</v>
      </c>
      <c r="D6" s="10">
        <f t="shared" si="0"/>
        <v>0.892857142857143</v>
      </c>
      <c r="E6" s="7" t="s">
        <v>94</v>
      </c>
      <c r="F6" s="7">
        <v>2800</v>
      </c>
      <c r="G6" s="9" t="s">
        <v>95</v>
      </c>
      <c r="H6" s="10">
        <v>200</v>
      </c>
      <c r="Q6" s="9">
        <f t="shared" si="1"/>
        <v>3000</v>
      </c>
      <c r="R6" s="7">
        <v>1.13</v>
      </c>
      <c r="S6" s="10">
        <f t="shared" si="2"/>
        <v>2654.86725663717</v>
      </c>
      <c r="T6" s="7">
        <f>成本!F7</f>
        <v>50000</v>
      </c>
      <c r="U6" s="7">
        <f>成本!G7</f>
        <v>5</v>
      </c>
      <c r="V6" s="29">
        <f t="shared" si="3"/>
        <v>0.0106194690265487</v>
      </c>
    </row>
    <row r="7" spans="1:22">
      <c r="A7" s="4" t="s">
        <v>35</v>
      </c>
      <c r="B7" s="4" t="s">
        <v>44</v>
      </c>
      <c r="C7" s="4">
        <v>9</v>
      </c>
      <c r="D7" s="10">
        <f t="shared" si="0"/>
        <v>1.38888888888889</v>
      </c>
      <c r="E7" s="7" t="s">
        <v>94</v>
      </c>
      <c r="F7" s="7">
        <v>2800</v>
      </c>
      <c r="G7" s="9" t="s">
        <v>95</v>
      </c>
      <c r="H7" s="10">
        <v>200</v>
      </c>
      <c r="Q7" s="9">
        <f t="shared" si="1"/>
        <v>3000</v>
      </c>
      <c r="R7" s="7">
        <v>1.13</v>
      </c>
      <c r="S7" s="10">
        <f t="shared" si="2"/>
        <v>2654.86725663717</v>
      </c>
      <c r="T7" s="7">
        <f>成本!F8</f>
        <v>50000</v>
      </c>
      <c r="U7" s="7">
        <f>成本!G8</f>
        <v>5</v>
      </c>
      <c r="V7" s="29">
        <f t="shared" si="3"/>
        <v>0.0106194690265487</v>
      </c>
    </row>
    <row r="8" spans="1:22">
      <c r="A8" s="4" t="s">
        <v>35</v>
      </c>
      <c r="B8" s="4" t="s">
        <v>46</v>
      </c>
      <c r="C8" s="4">
        <v>9</v>
      </c>
      <c r="D8" s="10">
        <f t="shared" si="0"/>
        <v>1.38888888888889</v>
      </c>
      <c r="E8" s="7" t="s">
        <v>94</v>
      </c>
      <c r="F8" s="7">
        <v>2800</v>
      </c>
      <c r="G8" s="9" t="s">
        <v>95</v>
      </c>
      <c r="H8" s="10">
        <v>200</v>
      </c>
      <c r="Q8" s="9">
        <f t="shared" si="1"/>
        <v>3000</v>
      </c>
      <c r="R8" s="7">
        <v>1.13</v>
      </c>
      <c r="S8" s="10">
        <f t="shared" si="2"/>
        <v>2654.86725663717</v>
      </c>
      <c r="T8" s="7">
        <f>成本!F9</f>
        <v>50000</v>
      </c>
      <c r="U8" s="7">
        <f>成本!G9</f>
        <v>5</v>
      </c>
      <c r="V8" s="29">
        <f t="shared" si="3"/>
        <v>0.0106194690265487</v>
      </c>
    </row>
    <row r="9" spans="1:22">
      <c r="A9" s="4" t="s">
        <v>48</v>
      </c>
      <c r="B9" s="4" t="s">
        <v>49</v>
      </c>
      <c r="C9" s="4" t="s">
        <v>96</v>
      </c>
      <c r="Q9" s="9"/>
      <c r="R9" s="7"/>
      <c r="S9" s="10"/>
      <c r="T9" s="7"/>
      <c r="U9" s="7"/>
      <c r="V9" s="29"/>
    </row>
    <row r="10" spans="1:22">
      <c r="A10" s="4" t="s">
        <v>48</v>
      </c>
      <c r="B10" s="4" t="s">
        <v>52</v>
      </c>
      <c r="C10" s="4" t="s">
        <v>96</v>
      </c>
      <c r="Q10" s="9"/>
      <c r="R10" s="7"/>
      <c r="S10" s="10"/>
      <c r="T10" s="7"/>
      <c r="U10" s="7"/>
      <c r="V10" s="29"/>
    </row>
    <row r="11" spans="1:22">
      <c r="A11" s="4" t="s">
        <v>48</v>
      </c>
      <c r="B11" s="4" t="s">
        <v>53</v>
      </c>
      <c r="C11" s="4" t="s">
        <v>96</v>
      </c>
      <c r="Q11" s="9"/>
      <c r="R11" s="7"/>
      <c r="S11" s="10"/>
      <c r="T11" s="7"/>
      <c r="U11" s="7"/>
      <c r="V11" s="29"/>
    </row>
    <row r="12" spans="1:22">
      <c r="A12" s="4" t="s">
        <v>48</v>
      </c>
      <c r="B12" s="4" t="s">
        <v>53</v>
      </c>
      <c r="C12" s="4" t="s">
        <v>96</v>
      </c>
      <c r="Q12" s="9"/>
      <c r="R12" s="7"/>
      <c r="S12" s="10"/>
      <c r="T12" s="7"/>
      <c r="U12" s="7"/>
      <c r="V12" s="29"/>
    </row>
    <row r="13" spans="1:22">
      <c r="Q13" s="9"/>
      <c r="R13" s="7"/>
      <c r="S13" s="10"/>
      <c r="T13" s="7"/>
      <c r="U13" s="7"/>
      <c r="V13" s="29"/>
    </row>
    <row r="14" spans="1:22">
      <c r="Q14" s="9"/>
      <c r="R14" s="7"/>
      <c r="S14" s="10"/>
      <c r="T14" s="7"/>
      <c r="U14" s="7"/>
      <c r="V14" s="29"/>
    </row>
    <row r="15" spans="1:22">
      <c r="Q15" s="9"/>
      <c r="R15" s="7"/>
      <c r="S15" s="10"/>
      <c r="T15" s="7"/>
      <c r="U15" s="7"/>
      <c r="V15" s="29"/>
    </row>
    <row r="16" spans="1:22">
      <c r="Q16" s="9"/>
      <c r="R16" s="7"/>
      <c r="S16" s="10"/>
      <c r="T16" s="7"/>
      <c r="U16" s="7"/>
      <c r="V16" s="29"/>
    </row>
    <row r="17" spans="17:22">
      <c r="Q17" s="9"/>
      <c r="R17" s="7"/>
      <c r="S17" s="10"/>
      <c r="T17" s="7"/>
      <c r="U17" s="7"/>
      <c r="V17" s="29"/>
    </row>
    <row r="18" spans="17:22">
      <c r="Q18" s="9"/>
      <c r="R18" s="7"/>
      <c r="S18" s="10"/>
      <c r="T18" s="7"/>
      <c r="U18" s="7"/>
      <c r="V18" s="29"/>
    </row>
    <row r="19" spans="17:22">
      <c r="Q19" s="9"/>
      <c r="R19" s="7"/>
      <c r="S19" s="10"/>
      <c r="T19" s="7"/>
      <c r="U19" s="7"/>
      <c r="V19" s="29"/>
    </row>
    <row r="20" spans="17:22">
      <c r="Q20" s="9"/>
      <c r="R20" s="7"/>
      <c r="S20" s="10"/>
      <c r="T20" s="7"/>
      <c r="U20" s="7"/>
      <c r="V20" s="29"/>
    </row>
  </sheetData>
  <protectedRanges>
    <protectedRange sqref="A2" name="工程_4_2"/>
  </protectedRanges>
  <autoFilter xmlns:etc="http://www.wps.cn/officeDocument/2017/etCustomData" ref="A1:V1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D13"/>
  <sheetViews>
    <sheetView zoomScale="85" zoomScaleNormal="85" topLeftCell="D1" workbookViewId="0">
      <pane ySplit="2" topLeftCell="A3" activePane="bottomLeft" state="frozen"/>
      <selection/>
      <selection pane="bottomLeft" activeCell="G6" sqref="G6"/>
    </sheetView>
  </sheetViews>
  <sheetFormatPr defaultColWidth="8.87037037037037" defaultRowHeight="14.4"/>
  <cols>
    <col min="1" max="1" width="28.6388888888889" style="4" customWidth="1"/>
    <col min="2" max="2" width="16.1296296296296" style="4" customWidth="1"/>
    <col min="3" max="3" width="18.25" style="4" customWidth="1"/>
    <col min="4" max="4" width="10.3333333333333" style="4" customWidth="1"/>
    <col min="5" max="5" width="10.1111111111111" style="4" customWidth="1"/>
    <col min="6" max="6" width="8.12962962962963" style="12" customWidth="1"/>
    <col min="7" max="7" width="10.5" style="11" customWidth="1"/>
    <col min="8" max="8" width="12.5555555555556" style="11" customWidth="1"/>
    <col min="9" max="9" width="14.0277777777778" style="11" customWidth="1"/>
    <col min="10" max="10" width="10" style="11" customWidth="1"/>
    <col min="11" max="11" width="9.44444444444444" style="4" customWidth="1"/>
    <col min="12" max="12" width="12.7777777777778" style="4" customWidth="1"/>
    <col min="13" max="13" width="7.37037037037037" style="4" customWidth="1"/>
    <col min="14" max="14" width="11.4444444444444" style="4" customWidth="1"/>
    <col min="15" max="15" width="11.1111111111111" style="4" customWidth="1"/>
    <col min="16" max="16" width="9" style="4" customWidth="1"/>
    <col min="17" max="17" width="9.62962962962963" style="13" customWidth="1"/>
    <col min="18" max="18" width="8.87037037037037" style="4" customWidth="1"/>
    <col min="19" max="19" width="8.5" style="4" customWidth="1"/>
    <col min="20" max="20" width="6.12962962962963" style="4" customWidth="1"/>
    <col min="21" max="21" width="7.12962962962963" style="4" customWidth="1"/>
    <col min="22" max="22" width="8.66666666666667" style="4" customWidth="1"/>
    <col min="23" max="23" width="11.1296296296296" style="4" customWidth="1"/>
    <col min="24" max="24" width="6.87037037037037" style="4" customWidth="1"/>
    <col min="25" max="25" width="6.75" style="4" customWidth="1"/>
    <col min="26" max="26" width="6.12962962962963" style="4" customWidth="1"/>
    <col min="27" max="27" width="10.7777777777778" style="4" customWidth="1"/>
    <col min="28" max="28" width="8.87037037037037" style="4"/>
    <col min="29" max="29" width="12.8148148148148" style="4"/>
    <col min="30" max="30" width="13.1111111111111" style="4" customWidth="1"/>
    <col min="31" max="32" width="8.87037037037037" style="4"/>
    <col min="33" max="33" width="11.8888888888889" style="4" customWidth="1"/>
    <col min="34" max="16384" width="8.87037037037037" style="4"/>
  </cols>
  <sheetData>
    <row r="1" s="4" customFormat="1" ht="14.95" customHeight="1" spans="1:30">
      <c r="F1" s="12"/>
      <c r="G1" s="11"/>
      <c r="H1" s="11"/>
      <c r="I1" s="11"/>
      <c r="J1" s="11"/>
      <c r="Q1" s="13"/>
      <c r="T1" s="4" t="s">
        <v>97</v>
      </c>
    </row>
    <row r="2" s="4" customFormat="1" spans="1:30">
      <c r="A2" s="14" t="s">
        <v>10</v>
      </c>
      <c r="B2" s="14" t="s">
        <v>11</v>
      </c>
      <c r="C2" s="14" t="s">
        <v>13</v>
      </c>
      <c r="D2" s="5" t="s">
        <v>5</v>
      </c>
      <c r="E2" s="5" t="s">
        <v>6</v>
      </c>
      <c r="F2" s="12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5" t="s">
        <v>98</v>
      </c>
      <c r="L2" s="15" t="s">
        <v>99</v>
      </c>
      <c r="M2" s="15" t="s">
        <v>100</v>
      </c>
      <c r="N2" s="15" t="s">
        <v>101</v>
      </c>
      <c r="O2" s="15" t="s">
        <v>102</v>
      </c>
      <c r="P2" s="15" t="s">
        <v>103</v>
      </c>
      <c r="Q2" s="16" t="s">
        <v>104</v>
      </c>
      <c r="R2" s="17" t="s">
        <v>105</v>
      </c>
      <c r="S2" s="17" t="s">
        <v>106</v>
      </c>
      <c r="T2" s="15" t="s">
        <v>107</v>
      </c>
      <c r="U2" s="15" t="s">
        <v>108</v>
      </c>
      <c r="V2" s="15" t="s">
        <v>109</v>
      </c>
      <c r="W2" s="17" t="s">
        <v>110</v>
      </c>
      <c r="X2" s="15" t="s">
        <v>4</v>
      </c>
      <c r="Y2" s="15" t="s">
        <v>17</v>
      </c>
      <c r="Z2" s="15" t="s">
        <v>111</v>
      </c>
      <c r="AA2" s="4" t="s">
        <v>112</v>
      </c>
      <c r="AC2" s="4" t="s">
        <v>113</v>
      </c>
      <c r="AD2" s="4" t="s">
        <v>13</v>
      </c>
    </row>
    <row r="3" s="7" customFormat="1" ht="19.2" spans="1:30">
      <c r="A3" s="7" t="s">
        <v>35</v>
      </c>
      <c r="B3" s="7" t="s">
        <v>36</v>
      </c>
      <c r="C3" s="7" t="s">
        <v>38</v>
      </c>
      <c r="D3" s="7">
        <v>50000</v>
      </c>
      <c r="E3" s="7">
        <v>5</v>
      </c>
      <c r="F3" s="18">
        <f>(T3*U3*V3)/10^9*Y3/M3</f>
        <v>0.020225625</v>
      </c>
      <c r="G3" s="9">
        <f>(R3+S3)/M3</f>
        <v>0.0229166666666667</v>
      </c>
      <c r="H3" s="19" t="e">
        <f>20/6/P3</f>
        <v>#DIV/0!</v>
      </c>
      <c r="I3" s="9">
        <f>(T3*U3)/10^6*Z3/M3/3*1.4/4+AA3</f>
        <v>0</v>
      </c>
      <c r="J3" s="20" t="e">
        <f>W3/100/P3</f>
        <v>#DIV/0!</v>
      </c>
      <c r="L3" s="7" t="s">
        <v>114</v>
      </c>
      <c r="M3" s="7">
        <v>240</v>
      </c>
      <c r="Q3" s="21"/>
      <c r="R3" s="7">
        <v>1</v>
      </c>
      <c r="S3" s="10">
        <v>4.5</v>
      </c>
      <c r="T3" s="22">
        <v>670</v>
      </c>
      <c r="U3" s="22">
        <v>460</v>
      </c>
      <c r="V3" s="23">
        <v>315</v>
      </c>
      <c r="W3" s="10"/>
      <c r="X3" s="7" t="s">
        <v>31</v>
      </c>
      <c r="Y3" s="24">
        <v>50</v>
      </c>
      <c r="Z3" s="25"/>
      <c r="AA3" s="9"/>
      <c r="AC3" s="26">
        <f>AD3*AE3*AF3/T3/U3/V3*M3</f>
        <v>0</v>
      </c>
    </row>
    <row r="4" spans="1:30">
      <c r="A4" s="4" t="s">
        <v>35</v>
      </c>
      <c r="B4" s="4" t="s">
        <v>39</v>
      </c>
      <c r="C4" s="7" t="s">
        <v>38</v>
      </c>
      <c r="D4" s="7">
        <v>50000</v>
      </c>
      <c r="E4" s="7">
        <v>5</v>
      </c>
      <c r="F4" s="18">
        <f t="shared" ref="F4:F9" si="0">(T4*U4*V4)/10^9*Y4/M4</f>
        <v>0.020225625</v>
      </c>
      <c r="G4" s="9">
        <f t="shared" ref="G4:G9" si="1">(R4+S4)/M4</f>
        <v>0.0229166666666667</v>
      </c>
      <c r="L4" s="4" t="s">
        <v>114</v>
      </c>
      <c r="M4" s="4">
        <v>240</v>
      </c>
      <c r="R4" s="4">
        <v>1</v>
      </c>
      <c r="S4" s="10">
        <v>4.5</v>
      </c>
      <c r="T4" s="22">
        <v>670</v>
      </c>
      <c r="U4" s="22">
        <v>460</v>
      </c>
      <c r="V4" s="23">
        <v>315</v>
      </c>
      <c r="X4" s="7" t="s">
        <v>31</v>
      </c>
      <c r="Y4" s="24">
        <v>50</v>
      </c>
    </row>
    <row r="5" spans="1:30">
      <c r="A5" s="4" t="s">
        <v>35</v>
      </c>
      <c r="B5" s="4" t="s">
        <v>40</v>
      </c>
      <c r="C5" s="4" t="s">
        <v>41</v>
      </c>
      <c r="D5" s="7">
        <v>50000</v>
      </c>
      <c r="E5" s="7">
        <v>5</v>
      </c>
      <c r="F5" s="18">
        <f t="shared" si="0"/>
        <v>0.020225625</v>
      </c>
      <c r="G5" s="9">
        <f t="shared" si="1"/>
        <v>0.0229166666666667</v>
      </c>
      <c r="L5" s="4" t="s">
        <v>114</v>
      </c>
      <c r="M5" s="4">
        <v>240</v>
      </c>
      <c r="R5" s="4">
        <v>1</v>
      </c>
      <c r="S5" s="10">
        <v>4.5</v>
      </c>
      <c r="T5" s="22">
        <v>670</v>
      </c>
      <c r="U5" s="22">
        <v>460</v>
      </c>
      <c r="V5" s="23">
        <v>315</v>
      </c>
      <c r="X5" s="7" t="s">
        <v>31</v>
      </c>
      <c r="Y5" s="24">
        <v>50</v>
      </c>
    </row>
    <row r="6" spans="1:30">
      <c r="A6" s="4" t="s">
        <v>35</v>
      </c>
      <c r="B6" s="4" t="s">
        <v>42</v>
      </c>
      <c r="C6" s="4" t="s">
        <v>41</v>
      </c>
      <c r="D6" s="7">
        <v>50000</v>
      </c>
      <c r="E6" s="7">
        <v>5</v>
      </c>
      <c r="F6" s="18">
        <f t="shared" si="0"/>
        <v>0.020225625</v>
      </c>
      <c r="G6" s="9">
        <f t="shared" si="1"/>
        <v>0.0229166666666667</v>
      </c>
      <c r="L6" s="4" t="s">
        <v>114</v>
      </c>
      <c r="M6" s="4">
        <v>240</v>
      </c>
      <c r="R6" s="4">
        <v>1</v>
      </c>
      <c r="S6" s="10">
        <v>4.5</v>
      </c>
      <c r="T6" s="22">
        <v>670</v>
      </c>
      <c r="U6" s="22">
        <v>460</v>
      </c>
      <c r="V6" s="23">
        <v>315</v>
      </c>
      <c r="X6" s="7" t="s">
        <v>31</v>
      </c>
      <c r="Y6" s="24">
        <v>50</v>
      </c>
    </row>
    <row r="7" spans="1:30">
      <c r="A7" s="4" t="s">
        <v>35</v>
      </c>
      <c r="B7" s="4" t="s">
        <v>43</v>
      </c>
      <c r="C7" s="4" t="s">
        <v>41</v>
      </c>
      <c r="D7" s="7">
        <v>50000</v>
      </c>
      <c r="E7" s="7">
        <v>5</v>
      </c>
      <c r="F7" s="18">
        <f t="shared" si="0"/>
        <v>0.020225625</v>
      </c>
      <c r="G7" s="9">
        <f t="shared" si="1"/>
        <v>0.0229166666666667</v>
      </c>
      <c r="L7" s="4" t="s">
        <v>114</v>
      </c>
      <c r="M7" s="4">
        <v>240</v>
      </c>
      <c r="R7" s="4">
        <v>1</v>
      </c>
      <c r="S7" s="10">
        <v>4.5</v>
      </c>
      <c r="T7" s="22">
        <v>670</v>
      </c>
      <c r="U7" s="22">
        <v>460</v>
      </c>
      <c r="V7" s="23">
        <v>315</v>
      </c>
      <c r="X7" s="7" t="s">
        <v>31</v>
      </c>
      <c r="Y7" s="24">
        <v>50</v>
      </c>
    </row>
    <row r="8" spans="1:30">
      <c r="A8" s="4" t="s">
        <v>35</v>
      </c>
      <c r="B8" s="4" t="s">
        <v>44</v>
      </c>
      <c r="C8" s="4" t="s">
        <v>115</v>
      </c>
      <c r="D8" s="7">
        <v>50000</v>
      </c>
      <c r="E8" s="7">
        <v>5</v>
      </c>
      <c r="F8" s="18">
        <f t="shared" si="0"/>
        <v>0.053794375</v>
      </c>
      <c r="G8" s="9">
        <f t="shared" si="1"/>
        <v>0.0525</v>
      </c>
      <c r="L8" s="4" t="s">
        <v>116</v>
      </c>
      <c r="M8" s="4">
        <v>120</v>
      </c>
      <c r="R8" s="4">
        <v>1</v>
      </c>
      <c r="S8" s="4">
        <v>5.3</v>
      </c>
      <c r="T8" s="22">
        <v>610</v>
      </c>
      <c r="U8" s="22">
        <v>510</v>
      </c>
      <c r="V8" s="23">
        <v>415</v>
      </c>
      <c r="X8" s="7" t="s">
        <v>31</v>
      </c>
      <c r="Y8" s="24">
        <v>50</v>
      </c>
    </row>
    <row r="9" spans="1:30">
      <c r="A9" s="4" t="s">
        <v>35</v>
      </c>
      <c r="B9" s="4" t="s">
        <v>46</v>
      </c>
      <c r="C9" s="4" t="s">
        <v>115</v>
      </c>
      <c r="D9" s="7">
        <v>50000</v>
      </c>
      <c r="E9" s="7">
        <v>5</v>
      </c>
      <c r="F9" s="18">
        <f t="shared" si="0"/>
        <v>0.053794375</v>
      </c>
      <c r="G9" s="9">
        <f t="shared" si="1"/>
        <v>0.0525</v>
      </c>
      <c r="L9" s="4" t="s">
        <v>116</v>
      </c>
      <c r="M9" s="4">
        <v>120</v>
      </c>
      <c r="R9" s="4">
        <v>1</v>
      </c>
      <c r="S9" s="4">
        <v>5.3</v>
      </c>
      <c r="T9" s="22">
        <v>610</v>
      </c>
      <c r="U9" s="22">
        <v>510</v>
      </c>
      <c r="V9" s="23">
        <v>415</v>
      </c>
      <c r="X9" s="7" t="s">
        <v>31</v>
      </c>
      <c r="Y9" s="24">
        <v>50</v>
      </c>
    </row>
    <row r="10" spans="1:30">
      <c r="A10" s="4" t="s">
        <v>48</v>
      </c>
      <c r="B10" s="4" t="s">
        <v>49</v>
      </c>
      <c r="C10" s="4" t="s">
        <v>51</v>
      </c>
      <c r="D10" s="7">
        <v>50000</v>
      </c>
      <c r="E10" s="7">
        <v>5</v>
      </c>
      <c r="X10" s="7" t="s">
        <v>31</v>
      </c>
    </row>
    <row r="11" spans="1:30">
      <c r="A11" s="4" t="s">
        <v>48</v>
      </c>
      <c r="B11" s="4" t="s">
        <v>52</v>
      </c>
      <c r="C11" s="4" t="s">
        <v>51</v>
      </c>
      <c r="D11" s="7">
        <v>50000</v>
      </c>
      <c r="E11" s="7">
        <v>5</v>
      </c>
      <c r="X11" s="7" t="s">
        <v>31</v>
      </c>
    </row>
    <row r="12" spans="1:30">
      <c r="A12" s="4" t="s">
        <v>48</v>
      </c>
      <c r="B12" s="4" t="s">
        <v>53</v>
      </c>
      <c r="C12" s="4" t="s">
        <v>51</v>
      </c>
      <c r="D12" s="7">
        <v>50000</v>
      </c>
      <c r="E12" s="7">
        <v>5</v>
      </c>
      <c r="X12" s="7" t="s">
        <v>31</v>
      </c>
    </row>
    <row r="13" spans="1:30">
      <c r="A13" s="4" t="s">
        <v>48</v>
      </c>
      <c r="B13" s="4" t="s">
        <v>53</v>
      </c>
      <c r="C13" s="4" t="s">
        <v>51</v>
      </c>
      <c r="D13" s="7">
        <v>50000</v>
      </c>
      <c r="E13" s="7">
        <v>5</v>
      </c>
      <c r="X13" s="7" t="s">
        <v>31</v>
      </c>
    </row>
  </sheetData>
  <protectedRanges>
    <protectedRange sqref="K3 R3:S3" name="工程_3_1"/>
    <protectedRange sqref="L3:N3" name="工程_2_1"/>
    <protectedRange sqref="K3 R3:S3" name="工程_3_1_1_1"/>
    <protectedRange sqref="K3 R3:S3" name="工程_3_1_2"/>
    <protectedRange sqref="L3:N3" name="工程_2_2"/>
    <protectedRange sqref="L3:N3" name="工程_2_1_1"/>
    <protectedRange sqref="K3 R3:S3" name="工程_3_1_1"/>
    <protectedRange sqref="K3 R3:S3" name="工程_3_1_3"/>
    <protectedRange sqref="L3:N3" name="工程_2"/>
    <protectedRange sqref="K3 R3:S3" name="工程_3_1_1_1_1"/>
    <protectedRange sqref="L3:N3" name="工程_2_1_2"/>
    <protectedRange sqref="A3" name="工程_4_2"/>
  </protectedRanges>
  <autoFilter xmlns:etc="http://www.wps.cn/officeDocument/2017/etCustomData" ref="A2:AA13" etc:filterBottomFollowUsedRange="0">
    <extLst/>
  </autoFilter>
  <mergeCells count="1">
    <mergeCell ref="T1:V1"/>
  </mergeCells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12"/>
  <sheetViews>
    <sheetView workbookViewId="0">
      <selection activeCell="H2" sqref="H2:H8"/>
    </sheetView>
  </sheetViews>
  <sheetFormatPr defaultColWidth="9" defaultRowHeight="14.4"/>
  <cols>
    <col min="1" max="1" width="19.4537037037037" customWidth="1"/>
    <col min="2" max="2" width="19.1851851851852" customWidth="1"/>
    <col min="3" max="3" width="17.2685185185185" customWidth="1"/>
    <col min="4" max="4" width="10.1296296296296" customWidth="1"/>
    <col min="5" max="5" width="13"/>
    <col min="6" max="6" width="12.8148148148148"/>
    <col min="8" max="8" width="12.9074074074074"/>
    <col min="12" max="12" width="16.6296296296296" customWidth="1"/>
  </cols>
  <sheetData>
    <row r="1" ht="36.7" customHeight="1" spans="1:12">
      <c r="A1" s="2" t="s">
        <v>10</v>
      </c>
      <c r="B1" s="2" t="s">
        <v>11</v>
      </c>
      <c r="C1" s="3" t="s">
        <v>117</v>
      </c>
      <c r="D1" s="4" t="s">
        <v>90</v>
      </c>
      <c r="E1" s="4" t="s">
        <v>118</v>
      </c>
      <c r="F1" s="5" t="s">
        <v>92</v>
      </c>
      <c r="G1" s="5" t="s">
        <v>6</v>
      </c>
      <c r="H1" s="4" t="s">
        <v>93</v>
      </c>
      <c r="I1" s="6"/>
      <c r="J1" s="6"/>
      <c r="K1" s="6"/>
      <c r="L1" s="6"/>
    </row>
    <row r="2" s="1" customFormat="1" ht="22" customHeight="1" spans="1:12">
      <c r="A2" s="7" t="s">
        <v>35</v>
      </c>
      <c r="B2" s="8" t="s">
        <v>36</v>
      </c>
      <c r="C2" s="7">
        <v>30000</v>
      </c>
      <c r="D2" s="7">
        <v>1.06</v>
      </c>
      <c r="E2" s="9">
        <f>C2/D2</f>
        <v>28301.8867924528</v>
      </c>
      <c r="F2" s="7">
        <f>成本!F3</f>
        <v>50000</v>
      </c>
      <c r="G2" s="7">
        <f>成本!G3</f>
        <v>5</v>
      </c>
      <c r="H2" s="10">
        <f>E2/F2/G2/7</f>
        <v>0.0161725067385445</v>
      </c>
    </row>
    <row r="3" spans="1:12">
      <c r="A3" s="4" t="s">
        <v>35</v>
      </c>
      <c r="B3" t="s">
        <v>39</v>
      </c>
      <c r="C3" s="7"/>
      <c r="D3" s="7"/>
      <c r="E3" s="9"/>
      <c r="F3" s="7"/>
      <c r="G3" s="7"/>
      <c r="H3" s="10"/>
    </row>
    <row r="4" spans="1:12">
      <c r="A4" s="4" t="s">
        <v>35</v>
      </c>
      <c r="B4" t="s">
        <v>40</v>
      </c>
      <c r="C4" s="7"/>
      <c r="D4" s="7"/>
      <c r="E4" s="9"/>
      <c r="F4" s="7"/>
      <c r="G4" s="7"/>
      <c r="H4" s="10"/>
    </row>
    <row r="5" spans="1:12">
      <c r="A5" s="4" t="s">
        <v>35</v>
      </c>
      <c r="B5" t="s">
        <v>42</v>
      </c>
      <c r="C5" s="7"/>
      <c r="D5" s="7"/>
      <c r="E5" s="9"/>
      <c r="F5" s="7"/>
      <c r="G5" s="7"/>
      <c r="H5" s="10"/>
    </row>
    <row r="6" spans="1:12">
      <c r="A6" s="4" t="s">
        <v>35</v>
      </c>
      <c r="B6" t="s">
        <v>43</v>
      </c>
      <c r="C6" s="7"/>
      <c r="D6" s="7"/>
      <c r="E6" s="9"/>
      <c r="F6" s="7"/>
      <c r="G6" s="7"/>
      <c r="H6" s="10"/>
    </row>
    <row r="7" spans="1:12">
      <c r="A7" s="4" t="s">
        <v>35</v>
      </c>
      <c r="B7" t="s">
        <v>44</v>
      </c>
      <c r="C7" s="7"/>
      <c r="D7" s="7"/>
      <c r="E7" s="9"/>
      <c r="F7" s="7"/>
      <c r="G7" s="7"/>
      <c r="H7" s="10"/>
    </row>
    <row r="8" spans="1:12">
      <c r="A8" s="4" t="s">
        <v>35</v>
      </c>
      <c r="B8" t="s">
        <v>46</v>
      </c>
      <c r="C8" s="7"/>
      <c r="D8" s="7"/>
      <c r="E8" s="9"/>
      <c r="F8" s="7"/>
      <c r="G8" s="7"/>
      <c r="H8" s="10"/>
    </row>
    <row r="9" spans="1:12">
      <c r="A9" s="4" t="s">
        <v>48</v>
      </c>
      <c r="B9" t="s">
        <v>49</v>
      </c>
      <c r="C9" s="4">
        <v>30000</v>
      </c>
      <c r="D9" s="4">
        <v>1.06</v>
      </c>
      <c r="E9" s="4">
        <f>C9/D9</f>
        <v>28301.8867924528</v>
      </c>
      <c r="F9" s="4">
        <v>50000</v>
      </c>
      <c r="G9" s="4">
        <v>5</v>
      </c>
      <c r="H9" s="11">
        <f>E9/F9/G9/4</f>
        <v>0.0283018867924528</v>
      </c>
    </row>
    <row r="10" spans="1:12">
      <c r="A10" s="4" t="s">
        <v>48</v>
      </c>
      <c r="B10" t="s">
        <v>52</v>
      </c>
      <c r="C10" s="4"/>
      <c r="D10" s="4"/>
      <c r="E10" s="4"/>
      <c r="F10" s="4"/>
      <c r="G10" s="4"/>
      <c r="H10" s="11"/>
    </row>
    <row r="11" spans="1:12">
      <c r="A11" s="4" t="s">
        <v>48</v>
      </c>
      <c r="B11" t="s">
        <v>53</v>
      </c>
      <c r="C11" s="4"/>
      <c r="D11" s="4"/>
      <c r="E11" s="4"/>
      <c r="F11" s="4"/>
      <c r="G11" s="4"/>
      <c r="H11" s="11"/>
    </row>
    <row r="12" spans="1:12">
      <c r="A12" s="4" t="s">
        <v>48</v>
      </c>
      <c r="B12" t="s">
        <v>53</v>
      </c>
      <c r="C12" s="4"/>
      <c r="D12" s="4"/>
      <c r="E12" s="4"/>
      <c r="F12" s="4"/>
      <c r="G12" s="4"/>
      <c r="H12" s="11"/>
    </row>
  </sheetData>
  <protectedRanges>
    <protectedRange sqref="A2" name="工程_4_1_1"/>
  </protectedRanges>
  <mergeCells count="12">
    <mergeCell ref="C2:C8"/>
    <mergeCell ref="C9:C12"/>
    <mergeCell ref="D2:D8"/>
    <mergeCell ref="D9:D12"/>
    <mergeCell ref="E2:E8"/>
    <mergeCell ref="E9:E12"/>
    <mergeCell ref="F2:F8"/>
    <mergeCell ref="F9:F12"/>
    <mergeCell ref="G2:G8"/>
    <mergeCell ref="G9:G12"/>
    <mergeCell ref="H2:H8"/>
    <mergeCell ref="H9:H12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工程_5_1" rangeCreator="" othersAccessPermission="edit"/>
  </rangeList>
  <rangeList sheetStid="2" master="" otherUserPermission="visible">
    <arrUserId title="工程_5" rangeCreator="" othersAccessPermission="edit"/>
    <arrUserId title="工程_6" rangeCreator="" othersAccessPermission="edit"/>
    <arrUserId title="工程_9" rangeCreator="" othersAccessPermission="edit"/>
    <arrUserId title="工程_10" rangeCreator="" othersAccessPermission="edit"/>
    <arrUserId title="工程_11" rangeCreator="" othersAccessPermission="edit"/>
    <arrUserId title="工程_12" rangeCreator="" othersAccessPermission="edit"/>
    <arrUserId title="工程_13" rangeCreator="" othersAccessPermission="edit"/>
  </rangeList>
  <rangeList sheetStid="3" master="" otherUserPermission="visible">
    <arrUserId title="工程_4_1_1" rangeCreator="" othersAccessPermission="edit"/>
    <arrUserId title="工程_8" rangeCreator="" othersAccessPermission="edit"/>
    <arrUserId title="工程_4_1_1_1" rangeCreator="" othersAccessPermission="edit"/>
  </rangeList>
  <rangeList sheetStid="5" master="" otherUserPermission="visible">
    <arrUserId title="工程_4_2" rangeCreator="" othersAccessPermission="edit"/>
  </rangeList>
  <rangeList sheetStid="9" master="" otherUserPermission="visible">
    <arrUserId title="工程_3_1" rangeCreator="" othersAccessPermission="edit"/>
    <arrUserId title="工程_2_1" rangeCreator="" othersAccessPermission="edit"/>
    <arrUserId title="工程_3_1_1_1" rangeCreator="" othersAccessPermission="edit"/>
    <arrUserId title="工程_3_1_2" rangeCreator="" othersAccessPermission="edit"/>
    <arrUserId title="工程_2_2" rangeCreator="" othersAccessPermission="edit"/>
    <arrUserId title="工程_2_1_1" rangeCreator="" othersAccessPermission="edit"/>
    <arrUserId title="工程_3_1_1" rangeCreator="" othersAccessPermission="edit"/>
    <arrUserId title="工程_3_1_3" rangeCreator="" othersAccessPermission="edit"/>
    <arrUserId title="工程_2" rangeCreator="" othersAccessPermission="edit"/>
    <arrUserId title="工程_3_1_1_1_1" rangeCreator="" othersAccessPermission="edit"/>
    <arrUserId title="工程_2_1_2" rangeCreator="" othersAccessPermission="edit"/>
    <arrUserId title="工程_4_2" rangeCreator="" othersAccessPermission="edit"/>
  </rangeList>
  <rangeList sheetStid="13" master="" otherUserPermission="visible">
    <arrUserId title="工程_4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成本</vt:lpstr>
      <vt:lpstr>BOM</vt:lpstr>
      <vt:lpstr>工序工时</vt:lpstr>
      <vt:lpstr>模检具</vt:lpstr>
      <vt:lpstr>物流包装</vt:lpstr>
      <vt:lpstr>实验费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高建永</dc:creator>
  <cp:lastModifiedBy>Ling</cp:lastModifiedBy>
  <dcterms:created xsi:type="dcterms:W3CDTF">2006-09-16T00:00:00Z</dcterms:created>
  <dcterms:modified xsi:type="dcterms:W3CDTF">2026-09-04T02:07:19Z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12B64C7F1A864DCB8AC6BE7F9AF35577_13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
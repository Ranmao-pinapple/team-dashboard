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明细" sheetId="1" state="visible" r:id="rId1"/>
    <sheet xmlns:r="http://schemas.openxmlformats.org/officeDocument/2006/relationships" name="报价单(年净利20万)" sheetId="2" state="visible" r:id="rId2"/>
    <sheet xmlns:r="http://schemas.openxmlformats.org/officeDocument/2006/relationships" name="公斤价参考" sheetId="3" state="visible" r:id="rId3"/>
    <sheet xmlns:r="http://schemas.openxmlformats.org/officeDocument/2006/relationships" name="毛利率敏感性" sheetId="4" state="visible" r:id="rId4"/>
    <sheet xmlns:r="http://schemas.openxmlformats.org/officeDocument/2006/relationships" name="成本构成(源表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0"/>
    <numFmt numFmtId="166" formatCode="0.000"/>
  </numFmts>
  <fonts count="8">
    <font>
      <name val="Calibri"/>
      <family val="2"/>
      <color theme="1"/>
      <sz val="11"/>
      <scheme val="minor"/>
    </font>
    <font>
      <name val="微软雅黑"/>
      <b val="1"/>
      <color rgb="FF171A20"/>
      <sz val="10"/>
    </font>
    <font>
      <name val="微软雅黑"/>
      <b val="1"/>
      <color rgb="FFE82127"/>
      <sz val="13"/>
    </font>
    <font>
      <name val="微软雅黑"/>
      <color rgb="FF171A20"/>
      <sz val="10"/>
    </font>
    <font>
      <name val="微软雅黑"/>
      <b val="1"/>
      <color rgb="FFE82127"/>
      <sz val="12"/>
    </font>
    <font>
      <name val="微软雅黑"/>
      <b val="1"/>
      <color rgb="FFFFFFFF"/>
      <sz val="10"/>
    </font>
    <font>
      <name val="微软雅黑"/>
      <b val="1"/>
      <color rgb="FFE82127"/>
      <sz val="10"/>
    </font>
    <font>
      <name val="微软雅黑"/>
      <color rgb="FFE82127"/>
      <sz val="10"/>
    </font>
  </fonts>
  <fills count="6">
    <fill>
      <patternFill/>
    </fill>
    <fill>
      <patternFill patternType="gray125"/>
    </fill>
    <fill>
      <patternFill patternType="solid">
        <fgColor rgb="FFFFF6E0"/>
      </patternFill>
    </fill>
    <fill>
      <patternFill patternType="solid">
        <fgColor rgb="FFE82127"/>
      </patternFill>
    </fill>
    <fill>
      <patternFill patternType="solid">
        <fgColor rgb="FFF5F5F5"/>
      </patternFill>
    </fill>
    <fill>
      <patternFill patternType="solid">
        <fgColor rgb="FFFFE2E2"/>
      </patternFill>
    </fill>
  </fills>
  <borders count="6">
    <border>
      <left/>
      <right/>
      <top/>
      <bottom/>
      <diagonal/>
    </border>
    <border>
      <left style="thin">
        <color rgb="FFD9D9DD"/>
      </left>
      <right style="thin">
        <color rgb="FFD9D9DD"/>
      </right>
      <top style="thin">
        <color rgb="FFD9D9DD"/>
      </top>
      <bottom style="thin">
        <color rgb="FFD9D9DD"/>
      </bottom>
    </border>
    <border>
      <left/>
      <right/>
      <top style="thin">
        <color rgb="FFD9D9DD"/>
      </top>
      <bottom/>
      <diagonal/>
    </border>
    <border>
      <left/>
      <right style="thin">
        <color rgb="FFD9D9DD"/>
      </right>
      <top style="thin">
        <color rgb="FFD9D9DD"/>
      </top>
      <bottom/>
      <diagonal/>
    </border>
    <border>
      <left/>
      <right/>
      <top style="thin">
        <color rgb="FFD9D9DD"/>
      </top>
      <bottom style="thin">
        <color rgb="FFD9D9DD"/>
      </bottom>
      <diagonal/>
    </border>
    <border>
      <left/>
      <right style="thin">
        <color rgb="FFD9D9DD"/>
      </right>
      <top style="thin">
        <color rgb="FFD9D9DD"/>
      </top>
      <bottom style="thin">
        <color rgb="FFD9D9DD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164" fontId="4" fillId="2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 wrapText="1"/>
    </xf>
    <xf numFmtId="1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left" vertical="center"/>
    </xf>
    <xf numFmtId="165" fontId="3" fillId="0" borderId="1" applyAlignment="1" pivotButton="0" quotePrefix="0" xfId="0">
      <alignment horizontal="right" vertical="center"/>
    </xf>
    <xf numFmtId="165" fontId="1" fillId="0" borderId="1" applyAlignment="1" pivotButton="0" quotePrefix="0" xfId="0">
      <alignment horizontal="left" vertical="center"/>
    </xf>
    <xf numFmtId="165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1" fontId="1" fillId="4" borderId="1" applyAlignment="1" pivotButton="0" quotePrefix="0" xfId="0">
      <alignment horizontal="center" vertical="center"/>
    </xf>
    <xf numFmtId="3" fontId="1" fillId="4" borderId="1" applyAlignment="1" pivotButton="0" quotePrefix="0" xfId="0">
      <alignment horizontal="left" vertical="center"/>
    </xf>
    <xf numFmtId="165" fontId="1" fillId="4" borderId="1" applyAlignment="1" pivotButton="0" quotePrefix="0" xfId="0">
      <alignment horizontal="left" vertical="center"/>
    </xf>
    <xf numFmtId="164" fontId="1" fillId="4" borderId="1" applyAlignment="1" pivotButton="0" quotePrefix="0" xfId="0">
      <alignment horizontal="left" vertical="center"/>
    </xf>
    <xf numFmtId="4" fontId="1" fillId="4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center"/>
    </xf>
    <xf numFmtId="9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center" vertical="center"/>
    </xf>
    <xf numFmtId="9" fontId="1" fillId="2" borderId="1" applyAlignment="1" pivotButton="0" quotePrefix="0" xfId="0">
      <alignment horizontal="center" vertical="center"/>
    </xf>
    <xf numFmtId="165" fontId="1" fillId="2" borderId="1" applyAlignment="1" pivotButton="0" quotePrefix="0" xfId="0">
      <alignment horizontal="right" vertical="center"/>
    </xf>
    <xf numFmtId="165" fontId="3" fillId="2" borderId="1" applyAlignment="1" pivotButton="0" quotePrefix="0" xfId="0">
      <alignment horizontal="right" vertical="center"/>
    </xf>
    <xf numFmtId="4" fontId="3" fillId="2" borderId="1" applyAlignment="1" pivotButton="0" quotePrefix="0" xfId="0">
      <alignment horizontal="right" vertical="center"/>
    </xf>
    <xf numFmtId="164" fontId="3" fillId="2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right" vertical="center"/>
    </xf>
    <xf numFmtId="166" fontId="1" fillId="0" borderId="1" applyAlignment="1" pivotButton="0" quotePrefix="0" xfId="0">
      <alignment horizontal="right" vertical="center"/>
    </xf>
    <xf numFmtId="165" fontId="1" fillId="4" borderId="1" applyAlignment="1" pivotButton="0" quotePrefix="0" xfId="0">
      <alignment horizontal="right" vertical="center"/>
    </xf>
    <xf numFmtId="166" fontId="1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165" fontId="3" fillId="5" borderId="1" applyAlignment="1" pivotButton="0" quotePrefix="0" xfId="0">
      <alignment horizontal="left" vertical="center"/>
    </xf>
    <xf numFmtId="165" fontId="3" fillId="5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2" fillId="0" borderId="0" pivotButton="0" quotePrefix="0" xfId="0"/>
    <xf numFmtId="165" fontId="1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right" vertical="center"/>
    </xf>
    <xf numFmtId="1" fontId="1" fillId="4" borderId="1" applyAlignment="1" pivotButton="0" quotePrefix="0" xfId="0">
      <alignment horizontal="right" vertical="center"/>
    </xf>
    <xf numFmtId="3" fontId="1" fillId="4" borderId="1" applyAlignment="1" pivotButton="0" quotePrefix="0" xfId="0">
      <alignment horizontal="right" vertical="center"/>
    </xf>
    <xf numFmtId="164" fontId="1" fillId="4" borderId="1" applyAlignment="1" pivotButton="0" quotePrefix="0" xfId="0">
      <alignment horizontal="right" vertical="center"/>
    </xf>
    <xf numFmtId="4" fontId="1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right" vertical="center"/>
    </xf>
    <xf numFmtId="2" fontId="1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20" customWidth="1" min="3" max="3"/>
    <col width="8" customWidth="1" min="4" max="4"/>
    <col width="10" customWidth="1" min="5" max="5"/>
    <col width="10" customWidth="1" min="6" max="6"/>
    <col width="11" customWidth="1" min="7" max="7"/>
    <col width="11" customWidth="1" min="8" max="8"/>
    <col width="10" customWidth="1" min="9" max="9"/>
    <col width="8" customWidth="1" min="10" max="10"/>
    <col width="12" customWidth="1" min="11" max="11"/>
    <col width="12" customWidth="1" min="12" max="12"/>
    <col width="11" customWidth="1" min="13" max="13"/>
    <col width="26" customWidth="1" min="14" max="14"/>
  </cols>
  <sheetData>
    <row r="1">
      <c r="A1" s="1" t="inlineStr">
        <is>
          <t>S56（奇瑞 S56_X3 / S56_X3L）吸音棉 报价分析</t>
        </is>
      </c>
    </row>
    <row r="2">
      <c r="A2" s="2" t="inlineStr">
        <is>
          <t>客户：浙江凯华（凯华汽车科技(安徽)有限公司）  ｜  主机厂：奇瑞  ｜  定点：2026-09-16  ｜  成本表：2026-09-18</t>
        </is>
      </c>
    </row>
    <row r="3">
      <c r="A3" s="2" t="inlineStr">
        <is>
          <t>成本口径：材料+加工费+三项费用+运输费+包装费+模具摊销（未税，成本表 X 列）；报价未税=成本÷(1−目标毛利率)，含税=未税×1.13</t>
        </is>
      </c>
    </row>
    <row r="4">
      <c r="A4" s="3" t="inlineStr">
        <is>
          <t>目标毛利率 →</t>
        </is>
      </c>
      <c r="B4" s="4" t="n">
        <v>0.25</v>
      </c>
      <c r="C4" s="2" t="inlineStr">
        <is>
          <t>← 改这个格子，下面未税/含税单价、毛利全年销售全部自动重算</t>
        </is>
      </c>
    </row>
    <row r="5">
      <c r="A5" s="3" t="inlineStr">
        <is>
          <t>平均年产量</t>
        </is>
      </c>
      <c r="B5" s="5" t="n">
        <v>50000</v>
      </c>
      <c r="C5" s="2" t="inlineStr">
        <is>
          <t>套/年（定点信息提交表）  →  年件数 = 单车用量 × 年产量 = 800,000 件/年</t>
        </is>
      </c>
    </row>
    <row r="7" ht="30" customHeight="1">
      <c r="A7" s="6" t="inlineStr">
        <is>
          <t>序号</t>
        </is>
      </c>
      <c r="B7" s="6" t="inlineStr">
        <is>
          <t>零件名称</t>
        </is>
      </c>
      <c r="C7" s="6" t="inlineStr">
        <is>
          <t>物料号</t>
        </is>
      </c>
      <c r="D7" s="6" t="inlineStr">
        <is>
          <t>单车用量</t>
        </is>
      </c>
      <c r="E7" s="6" t="inlineStr">
        <is>
          <t>年量(件)</t>
        </is>
      </c>
      <c r="F7" s="6" t="inlineStr">
        <is>
          <t>成本未税
(元/件)</t>
        </is>
      </c>
      <c r="G7" s="6" t="inlineStr">
        <is>
          <t>建议未税单价</t>
        </is>
      </c>
      <c r="H7" s="6" t="inlineStr">
        <is>
          <t>建议含税单价</t>
        </is>
      </c>
      <c r="I7" s="6" t="inlineStr">
        <is>
          <t>单件毛利</t>
        </is>
      </c>
      <c r="J7" s="6" t="inlineStr">
        <is>
          <t>毛利率</t>
        </is>
      </c>
      <c r="K7" s="6" t="inlineStr">
        <is>
          <t>年销售额
未税</t>
        </is>
      </c>
      <c r="L7" s="6" t="inlineStr">
        <is>
          <t>年销售额
含税</t>
        </is>
      </c>
      <c r="M7" s="6" t="inlineStr">
        <is>
          <t>年毛利</t>
        </is>
      </c>
      <c r="N7" s="6" t="inlineStr">
        <is>
          <t>备注</t>
        </is>
      </c>
    </row>
    <row r="8">
      <c r="A8" s="7" t="n">
        <v>1</v>
      </c>
      <c r="B8" s="2" t="inlineStr">
        <is>
          <t>S56_X3L_右C下吸音棉4</t>
        </is>
      </c>
      <c r="C8" s="2" t="inlineStr">
        <is>
          <t>510000000000013898</t>
        </is>
      </c>
      <c r="D8" s="7" t="n">
        <v>1</v>
      </c>
      <c r="E8" s="8">
        <f>D8*$B$5</f>
        <v/>
      </c>
      <c r="F8" s="9" t="n">
        <v>2.546333</v>
      </c>
      <c r="G8" s="10">
        <f>F8/(1-$B$4)</f>
        <v/>
      </c>
      <c r="H8" s="11">
        <f>G8*1.13</f>
        <v/>
      </c>
      <c r="I8" s="11">
        <f>G8-F8</f>
        <v/>
      </c>
      <c r="J8" s="12">
        <f>IF(G8=0,0,I8/G8)</f>
        <v/>
      </c>
      <c r="K8" s="13">
        <f>G8*E8</f>
        <v/>
      </c>
      <c r="L8" s="13">
        <f>H8*E8</f>
        <v/>
      </c>
      <c r="M8" s="13">
        <f>I8*E8</f>
        <v/>
      </c>
      <c r="N8" s="2" t="inlineStr">
        <is>
          <t>首单已下 2,120（拆2行）</t>
        </is>
      </c>
    </row>
    <row r="9">
      <c r="A9" s="7" t="n">
        <v>2</v>
      </c>
      <c r="B9" s="2" t="inlineStr">
        <is>
          <t>S56_X3L_左C下吸音棉5</t>
        </is>
      </c>
      <c r="C9" s="2" t="inlineStr">
        <is>
          <t>510000000000013897</t>
        </is>
      </c>
      <c r="D9" s="7" t="n">
        <v>1</v>
      </c>
      <c r="E9" s="8">
        <f>D9*$B$5</f>
        <v/>
      </c>
      <c r="F9" s="9" t="n">
        <v>1.59117</v>
      </c>
      <c r="G9" s="10">
        <f>F9/(1-$B$4)</f>
        <v/>
      </c>
      <c r="H9" s="11">
        <f>G9*1.13</f>
        <v/>
      </c>
      <c r="I9" s="11">
        <f>G9-F9</f>
        <v/>
      </c>
      <c r="J9" s="12">
        <f>IF(G9=0,0,I9/G9)</f>
        <v/>
      </c>
      <c r="K9" s="13">
        <f>G9*E9</f>
        <v/>
      </c>
      <c r="L9" s="13">
        <f>H9*E9</f>
        <v/>
      </c>
      <c r="M9" s="13">
        <f>I9*E9</f>
        <v/>
      </c>
      <c r="N9" s="2" t="inlineStr">
        <is>
          <t>首单已下 1,000</t>
        </is>
      </c>
    </row>
    <row r="10">
      <c r="A10" s="7" t="n">
        <v>3</v>
      </c>
      <c r="B10" s="2" t="inlineStr">
        <is>
          <t>S56_X3L_右C下吸音棉5</t>
        </is>
      </c>
      <c r="C10" s="2" t="inlineStr">
        <is>
          <t>510000000000013899</t>
        </is>
      </c>
      <c r="D10" s="7" t="n">
        <v>1</v>
      </c>
      <c r="E10" s="8">
        <f>D10*$B$5</f>
        <v/>
      </c>
      <c r="F10" s="9" t="n">
        <v>1.495725</v>
      </c>
      <c r="G10" s="10">
        <f>F10/(1-$B$4)</f>
        <v/>
      </c>
      <c r="H10" s="11">
        <f>G10*1.13</f>
        <v/>
      </c>
      <c r="I10" s="11">
        <f>G10-F10</f>
        <v/>
      </c>
      <c r="J10" s="12">
        <f>IF(G10=0,0,I10/G10)</f>
        <v/>
      </c>
      <c r="K10" s="13">
        <f>G10*E10</f>
        <v/>
      </c>
      <c r="L10" s="13">
        <f>H10*E10</f>
        <v/>
      </c>
      <c r="M10" s="13">
        <f>I10*E10</f>
        <v/>
      </c>
      <c r="N10" s="2" t="inlineStr">
        <is>
          <t>首单已下 2,070（拆2行）</t>
        </is>
      </c>
    </row>
    <row r="11">
      <c r="A11" s="7" t="n">
        <v>4</v>
      </c>
      <c r="B11" s="2" t="inlineStr">
        <is>
          <t>S56_X3L_左C下吸音棉4</t>
        </is>
      </c>
      <c r="C11" s="2" t="inlineStr">
        <is>
          <t>510000000000013896</t>
        </is>
      </c>
      <c r="D11" s="7" t="n">
        <v>1</v>
      </c>
      <c r="E11" s="8">
        <f>D11*$B$5</f>
        <v/>
      </c>
      <c r="F11" s="9" t="n">
        <v>2.261821</v>
      </c>
      <c r="G11" s="10">
        <f>F11/(1-$B$4)</f>
        <v/>
      </c>
      <c r="H11" s="11">
        <f>G11*1.13</f>
        <v/>
      </c>
      <c r="I11" s="11">
        <f>G11-F11</f>
        <v/>
      </c>
      <c r="J11" s="12">
        <f>IF(G11=0,0,I11/G11)</f>
        <v/>
      </c>
      <c r="K11" s="13">
        <f>G11*E11</f>
        <v/>
      </c>
      <c r="L11" s="13">
        <f>H11*E11</f>
        <v/>
      </c>
      <c r="M11" s="13">
        <f>I11*E11</f>
        <v/>
      </c>
      <c r="N11" s="2" t="inlineStr">
        <is>
          <t>首单已下 1,850</t>
        </is>
      </c>
    </row>
    <row r="12">
      <c r="A12" s="7" t="n">
        <v>5</v>
      </c>
      <c r="B12" s="2" t="inlineStr">
        <is>
          <t>S56_X3_吸音棉2</t>
        </is>
      </c>
      <c r="C12" s="2" t="inlineStr">
        <is>
          <t>510000000000012330</t>
        </is>
      </c>
      <c r="D12" s="7" t="n">
        <v>2</v>
      </c>
      <c r="E12" s="8">
        <f>D12*$B$5</f>
        <v/>
      </c>
      <c r="F12" s="9" t="n">
        <v>0.432204</v>
      </c>
      <c r="G12" s="10">
        <f>F12/(1-$B$4)</f>
        <v/>
      </c>
      <c r="H12" s="11">
        <f>G12*1.13</f>
        <v/>
      </c>
      <c r="I12" s="11">
        <f>G12-F12</f>
        <v/>
      </c>
      <c r="J12" s="12">
        <f>IF(G12=0,0,I12/G12)</f>
        <v/>
      </c>
      <c r="K12" s="13">
        <f>G12*E12</f>
        <v/>
      </c>
      <c r="L12" s="13">
        <f>H12*E12</f>
        <v/>
      </c>
      <c r="M12" s="13">
        <f>I12*E12</f>
        <v/>
      </c>
      <c r="N12" s="2" t="inlineStr">
        <is>
          <t>首单已下 5,000</t>
        </is>
      </c>
    </row>
    <row r="13">
      <c r="A13" s="7" t="n">
        <v>6</v>
      </c>
      <c r="B13" s="2" t="inlineStr">
        <is>
          <t>S56_X3_左下吸音棉3</t>
        </is>
      </c>
      <c r="C13" s="2" t="inlineStr">
        <is>
          <t>510000000000012721</t>
        </is>
      </c>
      <c r="D13" s="7" t="n">
        <v>1</v>
      </c>
      <c r="E13" s="8">
        <f>D13*$B$5</f>
        <v/>
      </c>
      <c r="F13" s="9" t="n">
        <v>1.039679</v>
      </c>
      <c r="G13" s="10">
        <f>F13/(1-$B$4)</f>
        <v/>
      </c>
      <c r="H13" s="11">
        <f>G13*1.13</f>
        <v/>
      </c>
      <c r="I13" s="11">
        <f>G13-F13</f>
        <v/>
      </c>
      <c r="J13" s="12">
        <f>IF(G13=0,0,I13/G13)</f>
        <v/>
      </c>
      <c r="K13" s="13">
        <f>G13*E13</f>
        <v/>
      </c>
      <c r="L13" s="13">
        <f>H13*E13</f>
        <v/>
      </c>
      <c r="M13" s="13">
        <f>I13*E13</f>
        <v/>
      </c>
      <c r="N13" s="2" t="inlineStr"/>
    </row>
    <row r="14">
      <c r="A14" s="7" t="n">
        <v>7</v>
      </c>
      <c r="B14" s="2" t="inlineStr">
        <is>
          <t>S56_X3_左下吸音棉2</t>
        </is>
      </c>
      <c r="C14" s="2" t="inlineStr">
        <is>
          <t>510000000000012720</t>
        </is>
      </c>
      <c r="D14" s="7" t="n">
        <v>1</v>
      </c>
      <c r="E14" s="8">
        <f>D14*$B$5</f>
        <v/>
      </c>
      <c r="F14" s="9" t="n">
        <v>0.877915</v>
      </c>
      <c r="G14" s="10">
        <f>F14/(1-$B$4)</f>
        <v/>
      </c>
      <c r="H14" s="11">
        <f>G14*1.13</f>
        <v/>
      </c>
      <c r="I14" s="11">
        <f>G14-F14</f>
        <v/>
      </c>
      <c r="J14" s="12">
        <f>IF(G14=0,0,I14/G14)</f>
        <v/>
      </c>
      <c r="K14" s="13">
        <f>G14*E14</f>
        <v/>
      </c>
      <c r="L14" s="13">
        <f>H14*E14</f>
        <v/>
      </c>
      <c r="M14" s="13">
        <f>I14*E14</f>
        <v/>
      </c>
      <c r="N14" s="2" t="inlineStr"/>
    </row>
    <row r="15">
      <c r="A15" s="7" t="n">
        <v>8</v>
      </c>
      <c r="B15" s="2" t="inlineStr">
        <is>
          <t>S56_X3_03T吸音棉1</t>
        </is>
      </c>
      <c r="C15" s="2" t="inlineStr">
        <is>
          <t>510000000000012328</t>
        </is>
      </c>
      <c r="D15" s="7" t="n">
        <v>2</v>
      </c>
      <c r="E15" s="8">
        <f>D15*$B$5</f>
        <v/>
      </c>
      <c r="F15" s="9" t="n">
        <v>0.275851</v>
      </c>
      <c r="G15" s="10">
        <f>F15/(1-$B$4)</f>
        <v/>
      </c>
      <c r="H15" s="11">
        <f>G15*1.13</f>
        <v/>
      </c>
      <c r="I15" s="11">
        <f>G15-F15</f>
        <v/>
      </c>
      <c r="J15" s="12">
        <f>IF(G15=0,0,I15/G15)</f>
        <v/>
      </c>
      <c r="K15" s="13">
        <f>G15*E15</f>
        <v/>
      </c>
      <c r="L15" s="13">
        <f>H15*E15</f>
        <v/>
      </c>
      <c r="M15" s="13">
        <f>I15*E15</f>
        <v/>
      </c>
      <c r="N15" s="2" t="inlineStr"/>
    </row>
    <row r="16">
      <c r="A16" s="7" t="n">
        <v>9</v>
      </c>
      <c r="B16" s="2" t="inlineStr">
        <is>
          <t>S56_X3_C上吸音棉3</t>
        </is>
      </c>
      <c r="C16" s="2" t="inlineStr">
        <is>
          <t>510000000000012726</t>
        </is>
      </c>
      <c r="D16" s="7" t="n">
        <v>1</v>
      </c>
      <c r="E16" s="8">
        <f>D16*$B$5</f>
        <v/>
      </c>
      <c r="F16" s="9" t="n">
        <v>0.20532</v>
      </c>
      <c r="G16" s="10">
        <f>F16/(1-$B$4)</f>
        <v/>
      </c>
      <c r="H16" s="11">
        <f>G16*1.13</f>
        <v/>
      </c>
      <c r="I16" s="11">
        <f>G16-F16</f>
        <v/>
      </c>
      <c r="J16" s="12">
        <f>IF(G16=0,0,I16/G16)</f>
        <v/>
      </c>
      <c r="K16" s="13">
        <f>G16*E16</f>
        <v/>
      </c>
      <c r="L16" s="13">
        <f>H16*E16</f>
        <v/>
      </c>
      <c r="M16" s="13">
        <f>I16*E16</f>
        <v/>
      </c>
      <c r="N16" s="2" t="inlineStr"/>
    </row>
    <row r="17">
      <c r="A17" s="7" t="n">
        <v>10</v>
      </c>
      <c r="B17" s="2" t="inlineStr">
        <is>
          <t>S56_X3_右下吸音棉2</t>
        </is>
      </c>
      <c r="C17" s="2" t="inlineStr">
        <is>
          <t>510000000000012727</t>
        </is>
      </c>
      <c r="D17" s="7" t="n">
        <v>1</v>
      </c>
      <c r="E17" s="8">
        <f>D17*$B$5</f>
        <v/>
      </c>
      <c r="F17" s="9" t="n">
        <v>1.396281</v>
      </c>
      <c r="G17" s="10">
        <f>F17/(1-$B$4)</f>
        <v/>
      </c>
      <c r="H17" s="11">
        <f>G17*1.13</f>
        <v/>
      </c>
      <c r="I17" s="11">
        <f>G17-F17</f>
        <v/>
      </c>
      <c r="J17" s="12">
        <f>IF(G17=0,0,I17/G17)</f>
        <v/>
      </c>
      <c r="K17" s="13">
        <f>G17*E17</f>
        <v/>
      </c>
      <c r="L17" s="13">
        <f>H17*E17</f>
        <v/>
      </c>
      <c r="M17" s="13">
        <f>I17*E17</f>
        <v/>
      </c>
      <c r="N17" s="2" t="inlineStr"/>
    </row>
    <row r="18">
      <c r="A18" s="7" t="n">
        <v>11</v>
      </c>
      <c r="B18" s="2" t="inlineStr">
        <is>
          <t>S56_X3_C上吸音棉2</t>
        </is>
      </c>
      <c r="C18" s="2" t="inlineStr">
        <is>
          <t>510000000000012725</t>
        </is>
      </c>
      <c r="D18" s="7" t="n">
        <v>1</v>
      </c>
      <c r="E18" s="8">
        <f>D18*$B$5</f>
        <v/>
      </c>
      <c r="F18" s="9" t="n">
        <v>0.356353</v>
      </c>
      <c r="G18" s="10">
        <f>F18/(1-$B$4)</f>
        <v/>
      </c>
      <c r="H18" s="11">
        <f>G18*1.13</f>
        <v/>
      </c>
      <c r="I18" s="11">
        <f>G18-F18</f>
        <v/>
      </c>
      <c r="J18" s="12">
        <f>IF(G18=0,0,I18/G18)</f>
        <v/>
      </c>
      <c r="K18" s="13">
        <f>G18*E18</f>
        <v/>
      </c>
      <c r="L18" s="13">
        <f>H18*E18</f>
        <v/>
      </c>
      <c r="M18" s="13">
        <f>I18*E18</f>
        <v/>
      </c>
      <c r="N18" s="2" t="inlineStr"/>
    </row>
    <row r="19">
      <c r="A19" s="7" t="n">
        <v>12</v>
      </c>
      <c r="B19" s="2" t="inlineStr">
        <is>
          <t>S56_X3_C上吸音棉1</t>
        </is>
      </c>
      <c r="C19" s="2" t="inlineStr">
        <is>
          <t>510000000000012724</t>
        </is>
      </c>
      <c r="D19" s="7" t="n">
        <v>1</v>
      </c>
      <c r="E19" s="8">
        <f>D19*$B$5</f>
        <v/>
      </c>
      <c r="F19" s="9" t="n">
        <v>0.223772</v>
      </c>
      <c r="G19" s="10">
        <f>F19/(1-$B$4)</f>
        <v/>
      </c>
      <c r="H19" s="11">
        <f>G19*1.13</f>
        <v/>
      </c>
      <c r="I19" s="11">
        <f>G19-F19</f>
        <v/>
      </c>
      <c r="J19" s="12">
        <f>IF(G19=0,0,I19/G19)</f>
        <v/>
      </c>
      <c r="K19" s="13">
        <f>G19*E19</f>
        <v/>
      </c>
      <c r="L19" s="13">
        <f>H19*E19</f>
        <v/>
      </c>
      <c r="M19" s="13">
        <f>I19*E19</f>
        <v/>
      </c>
      <c r="N19" s="2" t="inlineStr"/>
    </row>
    <row r="20">
      <c r="A20" s="7" t="n">
        <v>13</v>
      </c>
      <c r="B20" s="2" t="inlineStr">
        <is>
          <t>S56_X3_C下吸音棉1</t>
        </is>
      </c>
      <c r="C20" s="2" t="inlineStr">
        <is>
          <t>510000000000012719</t>
        </is>
      </c>
      <c r="D20" s="7" t="n">
        <v>2</v>
      </c>
      <c r="E20" s="8">
        <f>D20*$B$5</f>
        <v/>
      </c>
      <c r="F20" s="9" t="n">
        <v>0.260731</v>
      </c>
      <c r="G20" s="10">
        <f>F20/(1-$B$4)</f>
        <v/>
      </c>
      <c r="H20" s="11">
        <f>G20*1.13</f>
        <v/>
      </c>
      <c r="I20" s="11">
        <f>G20-F20</f>
        <v/>
      </c>
      <c r="J20" s="12">
        <f>IF(G20=0,0,I20/G20)</f>
        <v/>
      </c>
      <c r="K20" s="13">
        <f>G20*E20</f>
        <v/>
      </c>
      <c r="L20" s="13">
        <f>H20*E20</f>
        <v/>
      </c>
      <c r="M20" s="13">
        <f>I20*E20</f>
        <v/>
      </c>
      <c r="N20" s="2" t="inlineStr"/>
    </row>
    <row r="21">
      <c r="A21" s="14" t="inlineStr"/>
      <c r="B21" s="15" t="inlineStr">
        <is>
          <t>合计（13件／单车16件）</t>
        </is>
      </c>
      <c r="C21" s="14" t="inlineStr"/>
      <c r="D21" s="16">
        <f>SUM(D8:D20)</f>
        <v/>
      </c>
      <c r="E21" s="17">
        <f>SUM(E8:E20)</f>
        <v/>
      </c>
      <c r="F21" s="18">
        <f>SUMPRODUCT($F$8:$F$20,D8:D20)</f>
        <v/>
      </c>
      <c r="G21" s="18">
        <f>F21/D21</f>
        <v/>
      </c>
      <c r="H21" s="18">
        <f>G21*1.13</f>
        <v/>
      </c>
      <c r="I21" s="18">
        <f>G21-F21</f>
        <v/>
      </c>
      <c r="J21" s="19">
        <f>IF(G21=0,0,I21/G21)</f>
        <v/>
      </c>
      <c r="K21" s="20">
        <f>SUM(K8:K20)</f>
        <v/>
      </c>
      <c r="L21" s="20">
        <f>SUM(L8:L20)</f>
        <v/>
      </c>
      <c r="M21" s="20">
        <f>SUM(M8:M20)</f>
        <v/>
      </c>
      <c r="N21" s="14" t="inlineStr">
        <is>
          <t>套成本/套报价（未税、含税）</t>
        </is>
      </c>
    </row>
    <row r="23">
      <c r="A23" s="21" t="inlineStr">
        <is>
          <t>口径说明</t>
        </is>
      </c>
    </row>
    <row r="24">
      <c r="A24" s="2" t="inlineStr">
        <is>
          <t>① 报价未税 = 成本未税 ÷ (1 − 目标毛利率)；报价含税 = 未税 × 1.13。此处「成本」已含材料/加工/三项费用/运输/包装/模具摊销。</t>
        </is>
      </c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3" t="n"/>
    </row>
    <row r="25">
      <c r="A25" s="2" t="inlineStr">
        <is>
          <t>② 年量 = 平均年产量 50,000 套 × 单车用量（16 件/套，即 80 万件/年）；生命周期 / 年降（定点表为空）待确认，未计入。</t>
        </is>
      </c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3" t="n"/>
    </row>
    <row r="26">
      <c r="A26" s="2" t="inlineStr">
        <is>
          <t>③ S56_X3_B下吸音棉（510000000000012723）客户定点表单车用量为「0 不生产」，不计入报价；该行成本 12.9632 因无尺寸为占位数字，作废。</t>
        </is>
      </c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3" t="n"/>
    </row>
    <row r="27">
      <c r="A27" s="2" t="inlineStr">
        <is>
          <t>④ 模具费按 1,500 元 ÷（模穴数 × 20,000 模次）摊销，含在成本内；若客户承担模具费可在报价备注中单列。</t>
        </is>
      </c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3" t="n"/>
    </row>
    <row r="28">
      <c r="A28" s="2" t="inlineStr">
        <is>
          <t>⑤ 未含实验费/工装/检具（如客户要求另行计入，成本口径需补）。</t>
        </is>
      </c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3" t="n"/>
    </row>
  </sheetData>
  <mergeCells count="5">
    <mergeCell ref="A27:N27"/>
    <mergeCell ref="A26:N26"/>
    <mergeCell ref="A24:N24"/>
    <mergeCell ref="A25:N25"/>
    <mergeCell ref="A28:N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20" customWidth="1" min="3" max="3"/>
    <col width="7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8" customWidth="1" min="10" max="10"/>
    <col width="12" customWidth="1" min="11" max="11"/>
    <col width="12" customWidth="1" min="12" max="12"/>
    <col width="11" customWidth="1" min="13" max="13"/>
    <col width="13" customWidth="1" min="14" max="14"/>
  </cols>
  <sheetData>
    <row r="1">
      <c r="A1" s="43" t="inlineStr">
        <is>
          <t>S56（奇瑞 S56_X3 / S56_X3L）吸音棉 报价单 — 目标年净利 ¥200,000</t>
        </is>
      </c>
    </row>
    <row r="2">
      <c r="A2" t="inlineStr">
        <is>
          <t>口径：按统一毛利率 22.31% 分摊（每件同比例），报价未税=成本÷(1−0.2231)；含税=未税×1.13；年量=5万套×单车用量；成本含材料/加工/三项/运输/包装/模具摊销</t>
        </is>
      </c>
    </row>
    <row r="3">
      <c r="A3" t="inlineStr">
        <is>
          <t>套成本 ¥13.9319 ／ 套报价未税 ¥17.9319 ／ 套含税 ¥20.2631 ／ 套净利 ¥4.0000（单车 16 件）</t>
        </is>
      </c>
    </row>
    <row r="5" ht="30" customHeight="1">
      <c r="A5" s="6" t="inlineStr">
        <is>
          <t>序号</t>
        </is>
      </c>
      <c r="B5" s="6" t="inlineStr">
        <is>
          <t>零件名称</t>
        </is>
      </c>
      <c r="C5" s="6" t="inlineStr">
        <is>
          <t>物料号</t>
        </is>
      </c>
      <c r="D5" s="6" t="inlineStr">
        <is>
          <t>单车
用量</t>
        </is>
      </c>
      <c r="E5" s="6" t="inlineStr">
        <is>
          <t>年量
(件)</t>
        </is>
      </c>
      <c r="F5" s="6" t="inlineStr">
        <is>
          <t>成本
未税</t>
        </is>
      </c>
      <c r="G5" s="6" t="inlineStr">
        <is>
          <t>报价
未税</t>
        </is>
      </c>
      <c r="H5" s="6" t="inlineStr">
        <is>
          <t>报价
含税</t>
        </is>
      </c>
      <c r="I5" s="6" t="inlineStr">
        <is>
          <t>单件
净利</t>
        </is>
      </c>
      <c r="J5" s="6" t="inlineStr">
        <is>
          <t>毛利率</t>
        </is>
      </c>
      <c r="K5" s="6" t="inlineStr">
        <is>
          <t>年销售额
未税</t>
        </is>
      </c>
      <c r="L5" s="6" t="inlineStr">
        <is>
          <t>年销售额
含税</t>
        </is>
      </c>
      <c r="M5" s="6" t="inlineStr">
        <is>
          <t>年净利</t>
        </is>
      </c>
      <c r="N5" s="6" t="inlineStr">
        <is>
          <t>首单
PO4500127228</t>
        </is>
      </c>
    </row>
    <row r="6">
      <c r="A6" s="7" t="n">
        <v>1</v>
      </c>
      <c r="B6" s="37" t="inlineStr">
        <is>
          <t>S56_X3L_右C下吸音棉4</t>
        </is>
      </c>
      <c r="C6" s="37" t="inlineStr">
        <is>
          <t>510000000000013898</t>
        </is>
      </c>
      <c r="D6" s="7" t="n">
        <v>1</v>
      </c>
      <c r="E6" s="5" t="n">
        <v>50000</v>
      </c>
      <c r="F6" s="9" t="n">
        <v>2.5463</v>
      </c>
      <c r="G6" s="44" t="n">
        <v>3.277</v>
      </c>
      <c r="H6" s="34" t="n">
        <v>3.703</v>
      </c>
      <c r="I6" s="9" t="n">
        <v>0.7307</v>
      </c>
      <c r="J6" s="45" t="n">
        <v>0.2229661525564849</v>
      </c>
      <c r="K6" s="26" t="n">
        <v>163849.56</v>
      </c>
      <c r="L6" s="26" t="n">
        <v>185150</v>
      </c>
      <c r="M6" s="26" t="n">
        <v>36532.91</v>
      </c>
      <c r="N6" s="46" t="n">
        <v>2120</v>
      </c>
    </row>
    <row r="7">
      <c r="A7" s="7" t="n">
        <v>2</v>
      </c>
      <c r="B7" s="37" t="inlineStr">
        <is>
          <t>S56_X3L_左C下吸音棉5</t>
        </is>
      </c>
      <c r="C7" s="37" t="inlineStr">
        <is>
          <t>510000000000013897</t>
        </is>
      </c>
      <c r="D7" s="7" t="n">
        <v>1</v>
      </c>
      <c r="E7" s="5" t="n">
        <v>50000</v>
      </c>
      <c r="F7" s="9" t="n">
        <v>1.5912</v>
      </c>
      <c r="G7" s="44" t="n">
        <v>2.0478</v>
      </c>
      <c r="H7" s="34" t="n">
        <v>2.314</v>
      </c>
      <c r="I7" s="9" t="n">
        <v>0.4566</v>
      </c>
      <c r="J7" s="45" t="n">
        <v>0.2229807833837512</v>
      </c>
      <c r="K7" s="26" t="n">
        <v>102389.38</v>
      </c>
      <c r="L7" s="26" t="n">
        <v>115700</v>
      </c>
      <c r="M7" s="26" t="n">
        <v>22830.86</v>
      </c>
      <c r="N7" s="46" t="n">
        <v>1000</v>
      </c>
    </row>
    <row r="8">
      <c r="A8" s="7" t="n">
        <v>3</v>
      </c>
      <c r="B8" s="37" t="inlineStr">
        <is>
          <t>S56_X3L_右C下吸音棉5</t>
        </is>
      </c>
      <c r="C8" s="37" t="inlineStr">
        <is>
          <t>510000000000013899</t>
        </is>
      </c>
      <c r="D8" s="7" t="n">
        <v>1</v>
      </c>
      <c r="E8" s="5" t="n">
        <v>50000</v>
      </c>
      <c r="F8" s="9" t="n">
        <v>1.4957</v>
      </c>
      <c r="G8" s="44" t="n">
        <v>1.9248</v>
      </c>
      <c r="H8" s="34" t="n">
        <v>2.175</v>
      </c>
      <c r="I8" s="9" t="n">
        <v>0.4291</v>
      </c>
      <c r="J8" s="45" t="n">
        <v>0.2229105208045977</v>
      </c>
      <c r="K8" s="26" t="n">
        <v>96238.94</v>
      </c>
      <c r="L8" s="26" t="n">
        <v>108750</v>
      </c>
      <c r="M8" s="26" t="n">
        <v>21452.67</v>
      </c>
      <c r="N8" s="46" t="n">
        <v>2070</v>
      </c>
    </row>
    <row r="9">
      <c r="A9" s="7" t="n">
        <v>4</v>
      </c>
      <c r="B9" s="37" t="inlineStr">
        <is>
          <t>S56_X3L_左C下吸音棉4</t>
        </is>
      </c>
      <c r="C9" s="37" t="inlineStr">
        <is>
          <t>510000000000013896</t>
        </is>
      </c>
      <c r="D9" s="7" t="n">
        <v>1</v>
      </c>
      <c r="E9" s="5" t="n">
        <v>50000</v>
      </c>
      <c r="F9" s="9" t="n">
        <v>2.2618</v>
      </c>
      <c r="G9" s="44" t="n">
        <v>2.9115</v>
      </c>
      <c r="H9" s="34" t="n">
        <v>3.29</v>
      </c>
      <c r="I9" s="9" t="n">
        <v>0.6497000000000001</v>
      </c>
      <c r="J9" s="45" t="n">
        <v>0.2231433896909841</v>
      </c>
      <c r="K9" s="26" t="n">
        <v>145575.22</v>
      </c>
      <c r="L9" s="26" t="n">
        <v>164500</v>
      </c>
      <c r="M9" s="26" t="n">
        <v>32484.15</v>
      </c>
      <c r="N9" s="46" t="n">
        <v>1850</v>
      </c>
    </row>
    <row r="10">
      <c r="A10" s="7" t="n">
        <v>5</v>
      </c>
      <c r="B10" s="37" t="inlineStr">
        <is>
          <t>S56_X3_吸音棉2</t>
        </is>
      </c>
      <c r="C10" s="37" t="inlineStr">
        <is>
          <t>510000000000012330</t>
        </is>
      </c>
      <c r="D10" s="7" t="n">
        <v>2</v>
      </c>
      <c r="E10" s="5" t="n">
        <v>100000</v>
      </c>
      <c r="F10" s="9" t="n">
        <v>0.4322</v>
      </c>
      <c r="G10" s="44" t="n">
        <v>0.5566</v>
      </c>
      <c r="H10" s="34" t="n">
        <v>0.629</v>
      </c>
      <c r="I10" s="9" t="n">
        <v>0.1244</v>
      </c>
      <c r="J10" s="45" t="n">
        <v>0.2235450042925279</v>
      </c>
      <c r="K10" s="26" t="n">
        <v>55663.72</v>
      </c>
      <c r="L10" s="26" t="n">
        <v>62900</v>
      </c>
      <c r="M10" s="26" t="n">
        <v>12443.35</v>
      </c>
      <c r="N10" s="46" t="n">
        <v>5000</v>
      </c>
    </row>
    <row r="11">
      <c r="A11" s="7" t="n">
        <v>6</v>
      </c>
      <c r="B11" s="37" t="inlineStr">
        <is>
          <t>S56_X3_左下吸音棉3</t>
        </is>
      </c>
      <c r="C11" s="37" t="inlineStr">
        <is>
          <t>510000000000012721</t>
        </is>
      </c>
      <c r="D11" s="7" t="n">
        <v>1</v>
      </c>
      <c r="E11" s="5" t="n">
        <v>50000</v>
      </c>
      <c r="F11" s="9" t="n">
        <v>1.0397</v>
      </c>
      <c r="G11" s="44" t="n">
        <v>1.3381</v>
      </c>
      <c r="H11" s="34" t="n">
        <v>1.512</v>
      </c>
      <c r="I11" s="9" t="n">
        <v>0.2984</v>
      </c>
      <c r="J11" s="45" t="n">
        <v>0.2229910740740741</v>
      </c>
      <c r="K11" s="26" t="n">
        <v>66902.64999999999</v>
      </c>
      <c r="L11" s="26" t="n">
        <v>75600</v>
      </c>
      <c r="M11" s="26" t="n">
        <v>14918.69</v>
      </c>
      <c r="N11" s="46" t="inlineStr"/>
    </row>
    <row r="12">
      <c r="A12" s="7" t="n">
        <v>7</v>
      </c>
      <c r="B12" s="37" t="inlineStr">
        <is>
          <t>S56_X3_左下吸音棉2</t>
        </is>
      </c>
      <c r="C12" s="37" t="inlineStr">
        <is>
          <t>510000000000012720</t>
        </is>
      </c>
      <c r="D12" s="7" t="n">
        <v>1</v>
      </c>
      <c r="E12" s="5" t="n">
        <v>50000</v>
      </c>
      <c r="F12" s="9" t="n">
        <v>0.8779</v>
      </c>
      <c r="G12" s="44" t="n">
        <v>1.1301</v>
      </c>
      <c r="H12" s="34" t="n">
        <v>1.277</v>
      </c>
      <c r="I12" s="9" t="n">
        <v>0.2522</v>
      </c>
      <c r="J12" s="45" t="n">
        <v>0.2231447501740187</v>
      </c>
      <c r="K12" s="26" t="n">
        <v>56504.42</v>
      </c>
      <c r="L12" s="26" t="n">
        <v>63850</v>
      </c>
      <c r="M12" s="26" t="n">
        <v>12608.67</v>
      </c>
      <c r="N12" s="46" t="inlineStr"/>
    </row>
    <row r="13">
      <c r="A13" s="7" t="n">
        <v>8</v>
      </c>
      <c r="B13" s="37" t="inlineStr">
        <is>
          <t>S56_X3_03T吸音棉1</t>
        </is>
      </c>
      <c r="C13" s="37" t="inlineStr">
        <is>
          <t>510000000000012328</t>
        </is>
      </c>
      <c r="D13" s="7" t="n">
        <v>2</v>
      </c>
      <c r="E13" s="5" t="n">
        <v>100000</v>
      </c>
      <c r="F13" s="9" t="n">
        <v>0.2759</v>
      </c>
      <c r="G13" s="44" t="n">
        <v>0.3558</v>
      </c>
      <c r="H13" s="34" t="n">
        <v>0.402</v>
      </c>
      <c r="I13" s="9" t="n">
        <v>0.0799</v>
      </c>
      <c r="J13" s="45" t="n">
        <v>0.2245984787728018</v>
      </c>
      <c r="K13" s="26" t="n">
        <v>35575.22</v>
      </c>
      <c r="L13" s="26" t="n">
        <v>40200</v>
      </c>
      <c r="M13" s="26" t="n">
        <v>7990.14</v>
      </c>
      <c r="N13" s="46" t="inlineStr"/>
    </row>
    <row r="14">
      <c r="A14" s="7" t="n">
        <v>9</v>
      </c>
      <c r="B14" s="37" t="inlineStr">
        <is>
          <t>S56_X3_C上吸音棉3</t>
        </is>
      </c>
      <c r="C14" s="37" t="inlineStr">
        <is>
          <t>510000000000012726</t>
        </is>
      </c>
      <c r="D14" s="7" t="n">
        <v>1</v>
      </c>
      <c r="E14" s="5" t="n">
        <v>50000</v>
      </c>
      <c r="F14" s="9" t="n">
        <v>0.2053</v>
      </c>
      <c r="G14" s="44" t="n">
        <v>0.2646</v>
      </c>
      <c r="H14" s="34" t="n">
        <v>0.299</v>
      </c>
      <c r="I14" s="9" t="n">
        <v>0.0593</v>
      </c>
      <c r="J14" s="45" t="n">
        <v>0.2240415723522867</v>
      </c>
      <c r="K14" s="26" t="n">
        <v>13230.09</v>
      </c>
      <c r="L14" s="26" t="n">
        <v>14950</v>
      </c>
      <c r="M14" s="26" t="n">
        <v>2964.09</v>
      </c>
      <c r="N14" s="46" t="inlineStr"/>
    </row>
    <row r="15">
      <c r="A15" s="7" t="n">
        <v>10</v>
      </c>
      <c r="B15" s="37" t="inlineStr">
        <is>
          <t>S56_X3_右下吸音棉2</t>
        </is>
      </c>
      <c r="C15" s="37" t="inlineStr">
        <is>
          <t>510000000000012727</t>
        </is>
      </c>
      <c r="D15" s="7" t="n">
        <v>1</v>
      </c>
      <c r="E15" s="5" t="n">
        <v>50000</v>
      </c>
      <c r="F15" s="9" t="n">
        <v>1.3963</v>
      </c>
      <c r="G15" s="44" t="n">
        <v>1.7973</v>
      </c>
      <c r="H15" s="34" t="n">
        <v>2.031</v>
      </c>
      <c r="I15" s="9" t="n">
        <v>0.4011</v>
      </c>
      <c r="J15" s="45" t="n">
        <v>0.2231426997168884</v>
      </c>
      <c r="K15" s="26" t="n">
        <v>89867.25999999999</v>
      </c>
      <c r="L15" s="26" t="n">
        <v>101550</v>
      </c>
      <c r="M15" s="26" t="n">
        <v>20053.22</v>
      </c>
      <c r="N15" s="46" t="inlineStr"/>
    </row>
    <row r="16">
      <c r="A16" s="7" t="n">
        <v>11</v>
      </c>
      <c r="B16" s="37" t="inlineStr">
        <is>
          <t>S56_X3_C上吸音棉2</t>
        </is>
      </c>
      <c r="C16" s="37" t="inlineStr">
        <is>
          <t>510000000000012725</t>
        </is>
      </c>
      <c r="D16" s="7" t="n">
        <v>1</v>
      </c>
      <c r="E16" s="5" t="n">
        <v>50000</v>
      </c>
      <c r="F16" s="9" t="n">
        <v>0.3564</v>
      </c>
      <c r="G16" s="44" t="n">
        <v>0.4593</v>
      </c>
      <c r="H16" s="34" t="n">
        <v>0.519</v>
      </c>
      <c r="I16" s="9" t="n">
        <v>0.1029</v>
      </c>
      <c r="J16" s="45" t="n">
        <v>0.2241252532113032</v>
      </c>
      <c r="K16" s="26" t="n">
        <v>22964.6</v>
      </c>
      <c r="L16" s="26" t="n">
        <v>25950</v>
      </c>
      <c r="M16" s="26" t="n">
        <v>5146.95</v>
      </c>
      <c r="N16" s="46" t="inlineStr"/>
    </row>
    <row r="17">
      <c r="A17" s="7" t="n">
        <v>12</v>
      </c>
      <c r="B17" s="37" t="inlineStr">
        <is>
          <t>S56_X3_C上吸音棉1</t>
        </is>
      </c>
      <c r="C17" s="37" t="inlineStr">
        <is>
          <t>510000000000012724</t>
        </is>
      </c>
      <c r="D17" s="7" t="n">
        <v>1</v>
      </c>
      <c r="E17" s="5" t="n">
        <v>50000</v>
      </c>
      <c r="F17" s="9" t="n">
        <v>0.2238</v>
      </c>
      <c r="G17" s="44" t="n">
        <v>0.2885</v>
      </c>
      <c r="H17" s="34" t="n">
        <v>0.326</v>
      </c>
      <c r="I17" s="9" t="n">
        <v>0.06469999999999999</v>
      </c>
      <c r="J17" s="45" t="n">
        <v>0.2243490915644173</v>
      </c>
      <c r="K17" s="26" t="n">
        <v>14424.78</v>
      </c>
      <c r="L17" s="26" t="n">
        <v>16300</v>
      </c>
      <c r="M17" s="26" t="n">
        <v>3236.19</v>
      </c>
      <c r="N17" s="46" t="inlineStr"/>
    </row>
    <row r="18">
      <c r="A18" s="7" t="n">
        <v>13</v>
      </c>
      <c r="B18" s="37" t="inlineStr">
        <is>
          <t>S56_X3_C下吸音棉1</t>
        </is>
      </c>
      <c r="C18" s="37" t="inlineStr">
        <is>
          <t>510000000000012719</t>
        </is>
      </c>
      <c r="D18" s="7" t="n">
        <v>2</v>
      </c>
      <c r="E18" s="5" t="n">
        <v>100000</v>
      </c>
      <c r="F18" s="9" t="n">
        <v>0.2607</v>
      </c>
      <c r="G18" s="44" t="n">
        <v>0.3363</v>
      </c>
      <c r="H18" s="34" t="n">
        <v>0.38</v>
      </c>
      <c r="I18" s="9" t="n">
        <v>0.0756</v>
      </c>
      <c r="J18" s="45" t="n">
        <v>0.224668917017543</v>
      </c>
      <c r="K18" s="26" t="n">
        <v>33628.32</v>
      </c>
      <c r="L18" s="26" t="n">
        <v>38000</v>
      </c>
      <c r="M18" s="26" t="n">
        <v>7555.24</v>
      </c>
      <c r="N18" s="46" t="inlineStr"/>
    </row>
    <row r="19">
      <c r="A19" s="47" t="n"/>
      <c r="B19" s="47" t="inlineStr">
        <is>
          <t>合计（13件／单车16件）</t>
        </is>
      </c>
      <c r="C19" s="47" t="n"/>
      <c r="D19" s="48" t="n">
        <v>16</v>
      </c>
      <c r="E19" s="49" t="n">
        <v>800000</v>
      </c>
      <c r="F19" s="35" t="n">
        <v>13.9319</v>
      </c>
      <c r="G19" s="35" t="n">
        <v>1.121</v>
      </c>
      <c r="H19" s="36" t="n">
        <v>1.267</v>
      </c>
      <c r="I19" s="35" t="n">
        <v>0.2503</v>
      </c>
      <c r="J19" s="50" t="n">
        <v>0.2232537454738449</v>
      </c>
      <c r="K19" s="51" t="n">
        <v>896814.16</v>
      </c>
      <c r="L19" s="51" t="n">
        <v>1013400</v>
      </c>
      <c r="M19" s="51" t="n">
        <v>200217.12</v>
      </c>
      <c r="N19" s="49" t="n">
        <v>12040</v>
      </c>
    </row>
    <row r="21">
      <c r="B21" t="inlineStr">
        <is>
          <t>注：首单 PO4500127228 共 5 件/12,040 件（含税金额按本报价单计算：¥23,898.11）；S56_X3_B下吸音棉（510000000000012723）客户定点表单车用量为「0 不生产」，不报价。</t>
        </is>
      </c>
    </row>
    <row r="22">
      <c r="B22" t="inlineStr">
        <is>
          <t>注：模具费摊销仅覆盖 2 万模次（¥0.2755/套），量产满一年后该摊销退出 → 次年起年净利再增约 ¥13,776。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10" customWidth="1" min="3" max="3"/>
    <col width="9" customWidth="1" min="4" max="4"/>
    <col width="9" customWidth="1" min="5" max="5"/>
    <col width="9" customWidth="1" min="6" max="6"/>
    <col width="11" customWidth="1" min="7" max="7"/>
    <col width="10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</cols>
  <sheetData>
    <row r="1">
      <c r="A1" s="43" t="inlineStr">
        <is>
          <t>S56 公斤价参考（元/kg，未税）— 口径：成本未税 ÷ 重量</t>
        </is>
      </c>
    </row>
    <row r="2">
      <c r="A2" t="inlineStr">
        <is>
          <t>①「表内公斤价」= 成本 ÷ (成品长×宽×克重350g/㎡)  ← 成本表原列，已逐行验算吻合，对外/横向比用这个（客户看图纸尺寸能复算）</t>
        </is>
      </c>
    </row>
    <row r="3">
      <c r="A3" t="inlineStr">
        <is>
          <t>②「投料公斤价」= 成本 ÷ 实际投料重量(单耗㎡×克重)  ← 内部核料用（单耗已含嵌套排布，比外廓小，故元/kg 更高）</t>
        </is>
      </c>
    </row>
    <row r="4">
      <c r="A4" t="inlineStr">
        <is>
          <t>③ 原材料公斤价 = 4.375元/㎡ ÷ 0.35kg/㎡ = **12.50 元/kg**（地板价；所有件的公斤价都应高于它）</t>
        </is>
      </c>
    </row>
    <row r="6" ht="30" customHeight="1">
      <c r="A6" s="6" t="inlineStr">
        <is>
          <t>序号</t>
        </is>
      </c>
      <c r="B6" s="6" t="inlineStr">
        <is>
          <t>零件名称</t>
        </is>
      </c>
      <c r="C6" s="6" t="inlineStr">
        <is>
          <t>成品㎡
(长×宽)</t>
        </is>
      </c>
      <c r="D6" s="6" t="inlineStr">
        <is>
          <t>成品重
kg</t>
        </is>
      </c>
      <c r="E6" s="6" t="inlineStr">
        <is>
          <t>投料重
kg</t>
        </is>
      </c>
      <c r="F6" s="6" t="inlineStr">
        <is>
          <t>成本
未税</t>
        </is>
      </c>
      <c r="G6" s="6" t="inlineStr">
        <is>
          <t>表内元/kg
(成品重)</t>
        </is>
      </c>
      <c r="H6" s="6" t="inlineStr">
        <is>
          <t>投料元/kg</t>
        </is>
      </c>
      <c r="I6" s="6" t="inlineStr">
        <is>
          <t>材料
占比</t>
        </is>
      </c>
      <c r="J6" s="6" t="inlineStr">
        <is>
          <t>报价未税</t>
        </is>
      </c>
      <c r="K6" s="6" t="inlineStr">
        <is>
          <t>报价元/kg
(未税)</t>
        </is>
      </c>
      <c r="L6" s="6" t="inlineStr">
        <is>
          <t>报价元/kg
(含税)</t>
        </is>
      </c>
      <c r="M6" s="6" t="inlineStr">
        <is>
          <t>对材料价
倍数</t>
        </is>
      </c>
    </row>
    <row r="7">
      <c r="A7" s="52" t="n">
        <v>1</v>
      </c>
      <c r="B7" s="37" t="inlineStr">
        <is>
          <t>S56_X3L_右C下吸音棉4</t>
        </is>
      </c>
      <c r="C7" s="9" t="n">
        <v>0.4756</v>
      </c>
      <c r="D7" s="9" t="n">
        <v>0.1665</v>
      </c>
      <c r="E7" s="9" t="n">
        <v>0.1462</v>
      </c>
      <c r="F7" s="9" t="n">
        <v>2.5463</v>
      </c>
      <c r="G7" s="53" t="n">
        <v>15.3</v>
      </c>
      <c r="H7" s="53" t="n">
        <v>17.42</v>
      </c>
      <c r="I7" s="45" t="n">
        <v>0.7176741887635696</v>
      </c>
      <c r="J7" s="9" t="n">
        <v>3.2774</v>
      </c>
      <c r="K7" s="53" t="n">
        <v>19.69</v>
      </c>
      <c r="L7" s="53" t="n">
        <v>22.25</v>
      </c>
      <c r="M7" s="53" t="n">
        <v>1.58</v>
      </c>
    </row>
    <row r="8">
      <c r="A8" s="52" t="n">
        <v>2</v>
      </c>
      <c r="B8" s="37" t="inlineStr">
        <is>
          <t>S56_X3L_左C下吸音棉5</t>
        </is>
      </c>
      <c r="C8" s="9" t="n">
        <v>0.3733</v>
      </c>
      <c r="D8" s="9" t="n">
        <v>0.1306</v>
      </c>
      <c r="E8" s="9" t="n">
        <v>0.0833</v>
      </c>
      <c r="F8" s="9" t="n">
        <v>1.5912</v>
      </c>
      <c r="G8" s="53" t="n">
        <v>12.18</v>
      </c>
      <c r="H8" s="53" t="n">
        <v>19.1</v>
      </c>
      <c r="I8" s="45" t="n">
        <v>0.6543925459394173</v>
      </c>
      <c r="J8" s="9" t="n">
        <v>2.048</v>
      </c>
      <c r="K8" s="53" t="n">
        <v>15.68</v>
      </c>
      <c r="L8" s="53" t="n">
        <v>17.71</v>
      </c>
      <c r="M8" s="53" t="n">
        <v>1.25</v>
      </c>
    </row>
    <row r="9">
      <c r="A9" s="52" t="n">
        <v>3</v>
      </c>
      <c r="B9" s="37" t="inlineStr">
        <is>
          <t>S56_X3L_右C下吸音棉5</t>
        </is>
      </c>
      <c r="C9" s="9" t="n">
        <v>0.3349</v>
      </c>
      <c r="D9" s="9" t="n">
        <v>0.1172</v>
      </c>
      <c r="E9" s="9" t="n">
        <v>0.0762</v>
      </c>
      <c r="F9" s="9" t="n">
        <v>1.4957</v>
      </c>
      <c r="G9" s="53" t="n">
        <v>12.76</v>
      </c>
      <c r="H9" s="53" t="n">
        <v>19.62</v>
      </c>
      <c r="I9" s="45" t="n">
        <v>0.6370654986402667</v>
      </c>
      <c r="J9" s="9" t="n">
        <v>1.9252</v>
      </c>
      <c r="K9" s="53" t="n">
        <v>16.42</v>
      </c>
      <c r="L9" s="53" t="n">
        <v>18.56</v>
      </c>
      <c r="M9" s="53" t="n">
        <v>1.31</v>
      </c>
    </row>
    <row r="10">
      <c r="A10" s="52" t="n">
        <v>4</v>
      </c>
      <c r="B10" s="37" t="inlineStr">
        <is>
          <t>S56_X3L_左C下吸音棉4</t>
        </is>
      </c>
      <c r="C10" s="9" t="n">
        <v>0.367</v>
      </c>
      <c r="D10" s="9" t="n">
        <v>0.1284</v>
      </c>
      <c r="E10" s="9" t="n">
        <v>0.128</v>
      </c>
      <c r="F10" s="9" t="n">
        <v>2.2618</v>
      </c>
      <c r="G10" s="53" t="n">
        <v>17.61</v>
      </c>
      <c r="H10" s="53" t="n">
        <v>17.67</v>
      </c>
      <c r="I10" s="45" t="n">
        <v>0.7073668410498445</v>
      </c>
      <c r="J10" s="9" t="n">
        <v>2.9112</v>
      </c>
      <c r="K10" s="53" t="n">
        <v>22.67</v>
      </c>
      <c r="L10" s="53" t="n">
        <v>25.61</v>
      </c>
      <c r="M10" s="53" t="n">
        <v>1.81</v>
      </c>
    </row>
    <row r="11">
      <c r="A11" s="52" t="n">
        <v>5</v>
      </c>
      <c r="B11" s="37" t="inlineStr">
        <is>
          <t>S56_X3_吸音棉2</t>
        </is>
      </c>
      <c r="C11" s="9" t="n">
        <v>0.0576</v>
      </c>
      <c r="D11" s="9" t="n">
        <v>0.0202</v>
      </c>
      <c r="E11" s="9" t="n">
        <v>0.0223</v>
      </c>
      <c r="F11" s="9" t="n">
        <v>0.4322</v>
      </c>
      <c r="G11" s="53" t="n">
        <v>21.44</v>
      </c>
      <c r="H11" s="53" t="n">
        <v>19.42</v>
      </c>
      <c r="I11" s="45" t="n">
        <v>0.6437936407348285</v>
      </c>
      <c r="J11" s="9" t="n">
        <v>0.5563</v>
      </c>
      <c r="K11" s="53" t="n">
        <v>27.6</v>
      </c>
      <c r="L11" s="53" t="n">
        <v>31.19</v>
      </c>
      <c r="M11" s="53" t="n">
        <v>2.21</v>
      </c>
    </row>
    <row r="12">
      <c r="A12" s="52" t="n">
        <v>6</v>
      </c>
      <c r="B12" s="37" t="inlineStr">
        <is>
          <t>S56_X3_左下吸音棉3</t>
        </is>
      </c>
      <c r="C12" s="9" t="n">
        <v>0.2108</v>
      </c>
      <c r="D12" s="9" t="n">
        <v>0.0738</v>
      </c>
      <c r="E12" s="9" t="n">
        <v>0.0576</v>
      </c>
      <c r="F12" s="9" t="n">
        <v>1.0397</v>
      </c>
      <c r="G12" s="53" t="n">
        <v>14.09</v>
      </c>
      <c r="H12" s="53" t="n">
        <v>18.06</v>
      </c>
      <c r="I12" s="45" t="n">
        <v>0.6922207350113382</v>
      </c>
      <c r="J12" s="9" t="n">
        <v>1.3382</v>
      </c>
      <c r="K12" s="53" t="n">
        <v>18.13</v>
      </c>
      <c r="L12" s="53" t="n">
        <v>20.49</v>
      </c>
      <c r="M12" s="53" t="n">
        <v>1.45</v>
      </c>
    </row>
    <row r="13">
      <c r="A13" s="52" t="n">
        <v>7</v>
      </c>
      <c r="B13" s="37" t="inlineStr">
        <is>
          <t>S56_X3_左下吸音棉2</t>
        </is>
      </c>
      <c r="C13" s="9" t="n">
        <v>0.1453</v>
      </c>
      <c r="D13" s="9" t="n">
        <v>0.0509</v>
      </c>
      <c r="E13" s="9" t="n">
        <v>0.0509</v>
      </c>
      <c r="F13" s="9" t="n">
        <v>0.8779</v>
      </c>
      <c r="G13" s="53" t="n">
        <v>17.26</v>
      </c>
      <c r="H13" s="53" t="n">
        <v>17.25</v>
      </c>
      <c r="I13" s="45" t="n">
        <v>0.724585944165417</v>
      </c>
      <c r="J13" s="9" t="n">
        <v>1.13</v>
      </c>
      <c r="K13" s="53" t="n">
        <v>22.21</v>
      </c>
      <c r="L13" s="53" t="n">
        <v>25.1</v>
      </c>
      <c r="M13" s="53" t="n">
        <v>1.78</v>
      </c>
    </row>
    <row r="14">
      <c r="A14" s="52" t="n">
        <v>8</v>
      </c>
      <c r="B14" s="37" t="inlineStr">
        <is>
          <t>S56_X3_03T吸音棉1</t>
        </is>
      </c>
      <c r="C14" s="9" t="n">
        <v>0.0318</v>
      </c>
      <c r="D14" s="9" t="n">
        <v>0.0111</v>
      </c>
      <c r="E14" s="9" t="n">
        <v>0.0139</v>
      </c>
      <c r="F14" s="9" t="n">
        <v>0.2759</v>
      </c>
      <c r="G14" s="53" t="n">
        <v>24.75</v>
      </c>
      <c r="H14" s="53" t="n">
        <v>19.8</v>
      </c>
      <c r="I14" s="45" t="n">
        <v>0.6312288954456798</v>
      </c>
      <c r="J14" s="9" t="n">
        <v>0.3551</v>
      </c>
      <c r="K14" s="53" t="n">
        <v>31.86</v>
      </c>
      <c r="L14" s="53" t="n">
        <v>36</v>
      </c>
      <c r="M14" s="53" t="n">
        <v>2.55</v>
      </c>
    </row>
    <row r="15">
      <c r="A15" s="52" t="n">
        <v>9</v>
      </c>
      <c r="B15" s="37" t="inlineStr">
        <is>
          <t>S56_X3_C上吸音棉3</t>
        </is>
      </c>
      <c r="C15" s="9" t="n">
        <v>0.0325</v>
      </c>
      <c r="D15" s="9" t="n">
        <v>0.0114</v>
      </c>
      <c r="E15" s="9" t="n">
        <v>0.0109</v>
      </c>
      <c r="F15" s="9" t="n">
        <v>0.2053</v>
      </c>
      <c r="G15" s="53" t="n">
        <v>18.07</v>
      </c>
      <c r="H15" s="53" t="n">
        <v>18.8</v>
      </c>
      <c r="I15" s="45" t="n">
        <v>0.6648159834815238</v>
      </c>
      <c r="J15" s="9" t="n">
        <v>0.2643</v>
      </c>
      <c r="K15" s="53" t="n">
        <v>23.25</v>
      </c>
      <c r="L15" s="53" t="n">
        <v>26.28</v>
      </c>
      <c r="M15" s="53" t="n">
        <v>1.86</v>
      </c>
    </row>
    <row r="16">
      <c r="A16" s="52" t="n">
        <v>10</v>
      </c>
      <c r="B16" s="37" t="inlineStr">
        <is>
          <t>S56_X3_右下吸音棉2</t>
        </is>
      </c>
      <c r="C16" s="9" t="n">
        <v>0.2709</v>
      </c>
      <c r="D16" s="9" t="n">
        <v>0.0948</v>
      </c>
      <c r="E16" s="9" t="n">
        <v>0.0823</v>
      </c>
      <c r="F16" s="9" t="n">
        <v>1.3963</v>
      </c>
      <c r="G16" s="53" t="n">
        <v>14.73</v>
      </c>
      <c r="H16" s="53" t="n">
        <v>16.96</v>
      </c>
      <c r="I16" s="45" t="n">
        <v>0.7369578403625954</v>
      </c>
      <c r="J16" s="9" t="n">
        <v>1.7972</v>
      </c>
      <c r="K16" s="53" t="n">
        <v>18.96</v>
      </c>
      <c r="L16" s="53" t="n">
        <v>21.42</v>
      </c>
      <c r="M16" s="53" t="n">
        <v>1.52</v>
      </c>
    </row>
    <row r="17">
      <c r="A17" s="52" t="n">
        <v>11</v>
      </c>
      <c r="B17" s="37" t="inlineStr">
        <is>
          <t>S56_X3_C上吸音棉2</t>
        </is>
      </c>
      <c r="C17" s="9" t="n">
        <v>0.0421</v>
      </c>
      <c r="D17" s="9" t="n">
        <v>0.0147</v>
      </c>
      <c r="E17" s="9" t="n">
        <v>0.0189</v>
      </c>
      <c r="F17" s="9" t="n">
        <v>0.3564</v>
      </c>
      <c r="G17" s="53" t="n">
        <v>24.16</v>
      </c>
      <c r="H17" s="53" t="n">
        <v>18.85</v>
      </c>
      <c r="I17" s="45" t="n">
        <v>0.6629660455450417</v>
      </c>
      <c r="J17" s="9" t="n">
        <v>0.4587</v>
      </c>
      <c r="K17" s="53" t="n">
        <v>31.1</v>
      </c>
      <c r="L17" s="53" t="n">
        <v>35.14</v>
      </c>
      <c r="M17" s="53" t="n">
        <v>2.49</v>
      </c>
    </row>
    <row r="18">
      <c r="A18" s="52" t="n">
        <v>12</v>
      </c>
      <c r="B18" s="37" t="inlineStr">
        <is>
          <t>S56_X3_C上吸音棉1</t>
        </is>
      </c>
      <c r="C18" s="9" t="n">
        <v>0.0205</v>
      </c>
      <c r="D18" s="9" t="n">
        <v>0.0072</v>
      </c>
      <c r="E18" s="9" t="n">
        <v>0.0098</v>
      </c>
      <c r="F18" s="9" t="n">
        <v>0.2238</v>
      </c>
      <c r="G18" s="53" t="n">
        <v>31.24</v>
      </c>
      <c r="H18" s="53" t="n">
        <v>22.83</v>
      </c>
      <c r="I18" s="45" t="n">
        <v>0.5474325625088106</v>
      </c>
      <c r="J18" s="9" t="n">
        <v>0.288</v>
      </c>
      <c r="K18" s="53" t="n">
        <v>40.2</v>
      </c>
      <c r="L18" s="53" t="n">
        <v>45.43</v>
      </c>
      <c r="M18" s="53" t="n">
        <v>3.22</v>
      </c>
    </row>
    <row r="19">
      <c r="A19" s="52" t="n">
        <v>13</v>
      </c>
      <c r="B19" s="37" t="inlineStr">
        <is>
          <t>S56_X3_C下吸音棉1</t>
        </is>
      </c>
      <c r="C19" s="9" t="n">
        <v>0.0302</v>
      </c>
      <c r="D19" s="9" t="n">
        <v>0.0106</v>
      </c>
      <c r="E19" s="9" t="n">
        <v>0.0128</v>
      </c>
      <c r="F19" s="9" t="n">
        <v>0.2607</v>
      </c>
      <c r="G19" s="53" t="n">
        <v>24.7</v>
      </c>
      <c r="H19" s="53" t="n">
        <v>20.35</v>
      </c>
      <c r="I19" s="45" t="n">
        <v>0.6141391653987127</v>
      </c>
      <c r="J19" s="9" t="n">
        <v>0.3356</v>
      </c>
      <c r="K19" s="53" t="n">
        <v>31.79</v>
      </c>
      <c r="L19" s="53" t="n">
        <v>35.92</v>
      </c>
      <c r="M19" s="53" t="n">
        <v>2.54</v>
      </c>
    </row>
    <row r="20">
      <c r="A20" s="47" t="n"/>
      <c r="B20" s="47" t="inlineStr">
        <is>
          <t>套合计（单车16件）</t>
        </is>
      </c>
      <c r="C20" s="35" t="n">
        <v>2.5121</v>
      </c>
      <c r="D20" s="35" t="n">
        <v>0.8792</v>
      </c>
      <c r="E20" s="35" t="n">
        <v>0.7621</v>
      </c>
      <c r="F20" s="35" t="n">
        <v>13.9319</v>
      </c>
      <c r="G20" s="54" t="n">
        <v>15.85</v>
      </c>
      <c r="H20" s="54" t="n">
        <v>18.28</v>
      </c>
      <c r="I20" s="50" t="n">
        <v>0.6840000000000001</v>
      </c>
      <c r="J20" s="35" t="n">
        <v>17.9319</v>
      </c>
      <c r="K20" s="54" t="n">
        <v>20.4</v>
      </c>
      <c r="L20" s="54" t="n">
        <v>23.05</v>
      </c>
      <c r="M20" s="54" t="n">
        <v>1.63</v>
      </c>
    </row>
    <row r="22">
      <c r="B22" t="inlineStr">
        <is>
          <t>读法：材料占比越高、元/kg 越低 → 越「实在」（大件 12~15 元/kg，71~74% 是材料）；小件元/kg 飙到 24~31 是因为加工/三项/运输/包装/模具按件收，被很小的重量摊薄（材料占比掉到 55%）。</t>
        </is>
      </c>
    </row>
    <row r="23">
      <c r="B23" t="inlineStr">
        <is>
          <t>对外审价：客户只能按图纸长×宽算 → 用「表内元/kg」口径；内部核材料用「投料元/kg」。若客户拿「同类吸音棉 XX 元/kg」压价，先问他是按成品外廓还是按投料算，口径差 10~35%。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24" t="inlineStr">
        <is>
          <t>S56 报价敏感性（套口径 + 年化）  套成本 ¥13.9319/套（13件·单车16件）</t>
        </is>
      </c>
    </row>
    <row r="3">
      <c r="A3" s="6" t="inlineStr">
        <is>
          <t>目标毛利率</t>
        </is>
      </c>
      <c r="B3" s="6" t="inlineStr">
        <is>
          <t>套未税价</t>
        </is>
      </c>
      <c r="C3" s="6" t="inlineStr">
        <is>
          <t>套含税价</t>
        </is>
      </c>
      <c r="D3" s="6" t="inlineStr">
        <is>
          <t>套毛利</t>
        </is>
      </c>
      <c r="E3" s="6" t="inlineStr">
        <is>
          <t>年销售额未税
(50,000套)</t>
        </is>
      </c>
      <c r="F3" s="6" t="inlineStr">
        <is>
          <t>年销售额含税</t>
        </is>
      </c>
      <c r="G3" s="6" t="inlineStr">
        <is>
          <t>年毛利</t>
        </is>
      </c>
      <c r="H3" s="6" t="inlineStr">
        <is>
          <t>年净利率</t>
        </is>
      </c>
    </row>
    <row r="4">
      <c r="A4" s="25" t="n">
        <v>0.1</v>
      </c>
      <c r="B4" s="9" t="n">
        <v>15.4799</v>
      </c>
      <c r="C4" s="9" t="n">
        <v>17.4923</v>
      </c>
      <c r="D4" s="9" t="n">
        <v>1.548</v>
      </c>
      <c r="E4" s="26" t="n">
        <v>773996.71</v>
      </c>
      <c r="F4" s="26" t="n">
        <v>874616.28</v>
      </c>
      <c r="G4" s="26" t="n">
        <v>77399.67</v>
      </c>
      <c r="H4" s="27" t="n">
        <v>0.1</v>
      </c>
    </row>
    <row r="5">
      <c r="A5" s="25" t="n">
        <v>0.15</v>
      </c>
      <c r="B5" s="9" t="n">
        <v>16.3905</v>
      </c>
      <c r="C5" s="9" t="n">
        <v>18.5213</v>
      </c>
      <c r="D5" s="9" t="n">
        <v>2.4586</v>
      </c>
      <c r="E5" s="26" t="n">
        <v>819525.9300000001</v>
      </c>
      <c r="F5" s="26" t="n">
        <v>926064.3</v>
      </c>
      <c r="G5" s="26" t="n">
        <v>122928.89</v>
      </c>
      <c r="H5" s="27" t="n">
        <v>0.15</v>
      </c>
    </row>
    <row r="6">
      <c r="A6" s="25" t="n">
        <v>0.2</v>
      </c>
      <c r="B6" s="9" t="n">
        <v>17.4149</v>
      </c>
      <c r="C6" s="9" t="n">
        <v>19.6789</v>
      </c>
      <c r="D6" s="9" t="n">
        <v>3.483</v>
      </c>
      <c r="E6" s="26" t="n">
        <v>870746.3</v>
      </c>
      <c r="F6" s="26" t="n">
        <v>983943.3199999999</v>
      </c>
      <c r="G6" s="26" t="n">
        <v>174149.26</v>
      </c>
      <c r="H6" s="27" t="n">
        <v>0.2</v>
      </c>
    </row>
    <row r="7">
      <c r="A7" s="28" t="n">
        <v>0.25</v>
      </c>
      <c r="B7" s="29" t="n">
        <v>18.5759</v>
      </c>
      <c r="C7" s="29" t="n">
        <v>20.9908</v>
      </c>
      <c r="D7" s="30" t="n">
        <v>4.644</v>
      </c>
      <c r="E7" s="31" t="n">
        <v>928796.05</v>
      </c>
      <c r="F7" s="31" t="n">
        <v>1049539.54</v>
      </c>
      <c r="G7" s="31" t="n">
        <v>232199.01</v>
      </c>
      <c r="H7" s="32" t="n">
        <v>0.25</v>
      </c>
    </row>
    <row r="8">
      <c r="A8" s="25" t="n">
        <v>0.3</v>
      </c>
      <c r="B8" s="9" t="n">
        <v>19.9028</v>
      </c>
      <c r="C8" s="9" t="n">
        <v>22.4901</v>
      </c>
      <c r="D8" s="9" t="n">
        <v>5.9708</v>
      </c>
      <c r="E8" s="26" t="n">
        <v>995138.63</v>
      </c>
      <c r="F8" s="26" t="n">
        <v>1124506.65</v>
      </c>
      <c r="G8" s="26" t="n">
        <v>298541.59</v>
      </c>
      <c r="H8" s="27" t="n">
        <v>0.3</v>
      </c>
    </row>
    <row r="9">
      <c r="A9" s="25" t="n">
        <v>0.35</v>
      </c>
      <c r="B9" s="9" t="n">
        <v>21.4338</v>
      </c>
      <c r="C9" s="9" t="n">
        <v>24.2201</v>
      </c>
      <c r="D9" s="9" t="n">
        <v>7.5018</v>
      </c>
      <c r="E9" s="26" t="n">
        <v>1071687.75</v>
      </c>
      <c r="F9" s="26" t="n">
        <v>1211007.16</v>
      </c>
      <c r="G9" s="26" t="n">
        <v>375090.71</v>
      </c>
      <c r="H9" s="27" t="n">
        <v>0.35</v>
      </c>
    </row>
    <row r="11">
      <c r="A11" s="21" t="inlineStr">
        <is>
          <t>各零件「建议含税单价」对照（未税=含税÷1.13）</t>
        </is>
      </c>
    </row>
    <row r="12">
      <c r="A12" s="6" t="inlineStr">
        <is>
          <t>序号</t>
        </is>
      </c>
      <c r="B12" s="6" t="inlineStr">
        <is>
          <t>零件名称</t>
        </is>
      </c>
      <c r="C12" s="6" t="inlineStr">
        <is>
          <t>成本未税</t>
        </is>
      </c>
      <c r="D12" s="6" t="inlineStr">
        <is>
          <t>含税@10%</t>
        </is>
      </c>
      <c r="E12" s="6" t="inlineStr">
        <is>
          <t>含税@15%</t>
        </is>
      </c>
      <c r="F12" s="6" t="inlineStr">
        <is>
          <t>含税@20%</t>
        </is>
      </c>
      <c r="G12" s="6" t="inlineStr">
        <is>
          <t>含税@25%</t>
        </is>
      </c>
      <c r="H12" s="6" t="inlineStr">
        <is>
          <t>含税@30%</t>
        </is>
      </c>
      <c r="I12" s="6" t="inlineStr">
        <is>
          <t>含税@35%</t>
        </is>
      </c>
    </row>
    <row r="13">
      <c r="A13" s="7" t="n">
        <v>1</v>
      </c>
      <c r="B13" s="2" t="inlineStr">
        <is>
          <t>S56_X3L_右C下吸音棉4</t>
        </is>
      </c>
      <c r="C13" s="9" t="n">
        <v>2.5463</v>
      </c>
      <c r="D13" s="33" t="n">
        <v>3.197</v>
      </c>
      <c r="E13" s="33" t="n">
        <v>3.385</v>
      </c>
      <c r="F13" s="33" t="n">
        <v>3.597</v>
      </c>
      <c r="G13" s="34" t="n">
        <v>3.836</v>
      </c>
      <c r="H13" s="33" t="n">
        <v>4.111</v>
      </c>
      <c r="I13" s="33" t="n">
        <v>4.427</v>
      </c>
    </row>
    <row r="14">
      <c r="A14" s="7" t="n">
        <v>2</v>
      </c>
      <c r="B14" s="2" t="inlineStr">
        <is>
          <t>S56_X3L_左C下吸音棉5</t>
        </is>
      </c>
      <c r="C14" s="9" t="n">
        <v>1.5912</v>
      </c>
      <c r="D14" s="33" t="n">
        <v>1.998</v>
      </c>
      <c r="E14" s="33" t="n">
        <v>2.115</v>
      </c>
      <c r="F14" s="33" t="n">
        <v>2.248</v>
      </c>
      <c r="G14" s="34" t="n">
        <v>2.397</v>
      </c>
      <c r="H14" s="33" t="n">
        <v>2.569</v>
      </c>
      <c r="I14" s="33" t="n">
        <v>2.766</v>
      </c>
    </row>
    <row r="15">
      <c r="A15" s="7" t="n">
        <v>3</v>
      </c>
      <c r="B15" s="2" t="inlineStr">
        <is>
          <t>S56_X3L_右C下吸音棉5</t>
        </is>
      </c>
      <c r="C15" s="9" t="n">
        <v>1.4957</v>
      </c>
      <c r="D15" s="33" t="n">
        <v>1.878</v>
      </c>
      <c r="E15" s="33" t="n">
        <v>1.988</v>
      </c>
      <c r="F15" s="33" t="n">
        <v>2.113</v>
      </c>
      <c r="G15" s="34" t="n">
        <v>2.254</v>
      </c>
      <c r="H15" s="33" t="n">
        <v>2.415</v>
      </c>
      <c r="I15" s="33" t="n">
        <v>2.6</v>
      </c>
    </row>
    <row r="16">
      <c r="A16" s="7" t="n">
        <v>4</v>
      </c>
      <c r="B16" s="2" t="inlineStr">
        <is>
          <t>S56_X3L_左C下吸音棉4</t>
        </is>
      </c>
      <c r="C16" s="9" t="n">
        <v>2.2618</v>
      </c>
      <c r="D16" s="33" t="n">
        <v>2.84</v>
      </c>
      <c r="E16" s="33" t="n">
        <v>3.007</v>
      </c>
      <c r="F16" s="33" t="n">
        <v>3.195</v>
      </c>
      <c r="G16" s="34" t="n">
        <v>3.408</v>
      </c>
      <c r="H16" s="33" t="n">
        <v>3.651</v>
      </c>
      <c r="I16" s="33" t="n">
        <v>3.932</v>
      </c>
    </row>
    <row r="17">
      <c r="A17" s="7" t="n">
        <v>5</v>
      </c>
      <c r="B17" s="2" t="inlineStr">
        <is>
          <t>S56_X3_吸音棉2</t>
        </is>
      </c>
      <c r="C17" s="9" t="n">
        <v>0.4322</v>
      </c>
      <c r="D17" s="33" t="n">
        <v>0.543</v>
      </c>
      <c r="E17" s="33" t="n">
        <v>0.575</v>
      </c>
      <c r="F17" s="33" t="n">
        <v>0.61</v>
      </c>
      <c r="G17" s="34" t="n">
        <v>0.651</v>
      </c>
      <c r="H17" s="33" t="n">
        <v>0.698</v>
      </c>
      <c r="I17" s="33" t="n">
        <v>0.751</v>
      </c>
    </row>
    <row r="18">
      <c r="A18" s="7" t="n">
        <v>6</v>
      </c>
      <c r="B18" s="2" t="inlineStr">
        <is>
          <t>S56_X3_左下吸音棉3</t>
        </is>
      </c>
      <c r="C18" s="9" t="n">
        <v>1.0397</v>
      </c>
      <c r="D18" s="33" t="n">
        <v>1.305</v>
      </c>
      <c r="E18" s="33" t="n">
        <v>1.382</v>
      </c>
      <c r="F18" s="33" t="n">
        <v>1.469</v>
      </c>
      <c r="G18" s="34" t="n">
        <v>1.566</v>
      </c>
      <c r="H18" s="33" t="n">
        <v>1.678</v>
      </c>
      <c r="I18" s="33" t="n">
        <v>1.807</v>
      </c>
    </row>
    <row r="19">
      <c r="A19" s="7" t="n">
        <v>7</v>
      </c>
      <c r="B19" s="2" t="inlineStr">
        <is>
          <t>S56_X3_左下吸音棉2</t>
        </is>
      </c>
      <c r="C19" s="9" t="n">
        <v>0.8779</v>
      </c>
      <c r="D19" s="33" t="n">
        <v>1.102</v>
      </c>
      <c r="E19" s="33" t="n">
        <v>1.167</v>
      </c>
      <c r="F19" s="33" t="n">
        <v>1.24</v>
      </c>
      <c r="G19" s="34" t="n">
        <v>1.323</v>
      </c>
      <c r="H19" s="33" t="n">
        <v>1.417</v>
      </c>
      <c r="I19" s="33" t="n">
        <v>1.526</v>
      </c>
    </row>
    <row r="20">
      <c r="A20" s="7" t="n">
        <v>8</v>
      </c>
      <c r="B20" s="2" t="inlineStr">
        <is>
          <t>S56_X3_03T吸音棉1</t>
        </is>
      </c>
      <c r="C20" s="9" t="n">
        <v>0.2759</v>
      </c>
      <c r="D20" s="33" t="n">
        <v>0.346</v>
      </c>
      <c r="E20" s="33" t="n">
        <v>0.367</v>
      </c>
      <c r="F20" s="33" t="n">
        <v>0.39</v>
      </c>
      <c r="G20" s="34" t="n">
        <v>0.416</v>
      </c>
      <c r="H20" s="33" t="n">
        <v>0.445</v>
      </c>
      <c r="I20" s="33" t="n">
        <v>0.48</v>
      </c>
    </row>
    <row r="21">
      <c r="A21" s="7" t="n">
        <v>9</v>
      </c>
      <c r="B21" s="2" t="inlineStr">
        <is>
          <t>S56_X3_C上吸音棉3</t>
        </is>
      </c>
      <c r="C21" s="9" t="n">
        <v>0.2053</v>
      </c>
      <c r="D21" s="33" t="n">
        <v>0.258</v>
      </c>
      <c r="E21" s="33" t="n">
        <v>0.273</v>
      </c>
      <c r="F21" s="33" t="n">
        <v>0.29</v>
      </c>
      <c r="G21" s="34" t="n">
        <v>0.309</v>
      </c>
      <c r="H21" s="33" t="n">
        <v>0.331</v>
      </c>
      <c r="I21" s="33" t="n">
        <v>0.357</v>
      </c>
    </row>
    <row r="22">
      <c r="A22" s="7" t="n">
        <v>10</v>
      </c>
      <c r="B22" s="2" t="inlineStr">
        <is>
          <t>S56_X3_右下吸音棉2</t>
        </is>
      </c>
      <c r="C22" s="9" t="n">
        <v>1.3963</v>
      </c>
      <c r="D22" s="33" t="n">
        <v>1.753</v>
      </c>
      <c r="E22" s="33" t="n">
        <v>1.856</v>
      </c>
      <c r="F22" s="33" t="n">
        <v>1.972</v>
      </c>
      <c r="G22" s="34" t="n">
        <v>2.104</v>
      </c>
      <c r="H22" s="33" t="n">
        <v>2.254</v>
      </c>
      <c r="I22" s="33" t="n">
        <v>2.427</v>
      </c>
    </row>
    <row r="23">
      <c r="A23" s="7" t="n">
        <v>11</v>
      </c>
      <c r="B23" s="2" t="inlineStr">
        <is>
          <t>S56_X3_C上吸音棉2</t>
        </is>
      </c>
      <c r="C23" s="9" t="n">
        <v>0.3564</v>
      </c>
      <c r="D23" s="33" t="n">
        <v>0.447</v>
      </c>
      <c r="E23" s="33" t="n">
        <v>0.474</v>
      </c>
      <c r="F23" s="33" t="n">
        <v>0.503</v>
      </c>
      <c r="G23" s="34" t="n">
        <v>0.537</v>
      </c>
      <c r="H23" s="33" t="n">
        <v>0.575</v>
      </c>
      <c r="I23" s="33" t="n">
        <v>0.62</v>
      </c>
    </row>
    <row r="24">
      <c r="A24" s="7" t="n">
        <v>12</v>
      </c>
      <c r="B24" s="2" t="inlineStr">
        <is>
          <t>S56_X3_C上吸音棉1</t>
        </is>
      </c>
      <c r="C24" s="9" t="n">
        <v>0.2238</v>
      </c>
      <c r="D24" s="33" t="n">
        <v>0.281</v>
      </c>
      <c r="E24" s="33" t="n">
        <v>0.297</v>
      </c>
      <c r="F24" s="33" t="n">
        <v>0.316</v>
      </c>
      <c r="G24" s="34" t="n">
        <v>0.337</v>
      </c>
      <c r="H24" s="33" t="n">
        <v>0.361</v>
      </c>
      <c r="I24" s="33" t="n">
        <v>0.389</v>
      </c>
    </row>
    <row r="25">
      <c r="A25" s="7" t="n">
        <v>13</v>
      </c>
      <c r="B25" s="2" t="inlineStr">
        <is>
          <t>S56_X3_C下吸音棉1</t>
        </is>
      </c>
      <c r="C25" s="9" t="n">
        <v>0.2607</v>
      </c>
      <c r="D25" s="33" t="n">
        <v>0.327</v>
      </c>
      <c r="E25" s="33" t="n">
        <v>0.347</v>
      </c>
      <c r="F25" s="33" t="n">
        <v>0.368</v>
      </c>
      <c r="G25" s="34" t="n">
        <v>0.393</v>
      </c>
      <c r="H25" s="33" t="n">
        <v>0.421</v>
      </c>
      <c r="I25" s="33" t="n">
        <v>0.453</v>
      </c>
    </row>
    <row r="26">
      <c r="A26" s="14" t="inlineStr"/>
      <c r="B26" s="15" t="inlineStr">
        <is>
          <t>套合计（含税）</t>
        </is>
      </c>
      <c r="C26" s="35" t="n">
        <v>13.9319</v>
      </c>
      <c r="D26" s="36" t="n">
        <v>17.492</v>
      </c>
      <c r="E26" s="36" t="n">
        <v>18.521</v>
      </c>
      <c r="F26" s="36" t="n">
        <v>19.679</v>
      </c>
      <c r="G26" s="36" t="n">
        <v>20.991</v>
      </c>
      <c r="H26" s="36" t="n">
        <v>22.49</v>
      </c>
      <c r="I26" s="36" t="n">
        <v>24.22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20" customWidth="1" min="3" max="3"/>
    <col width="8" customWidth="1" min="4" max="4"/>
    <col width="16" customWidth="1" min="5" max="5"/>
    <col width="10" customWidth="1" min="6" max="6"/>
    <col width="9" customWidth="1" min="7" max="7"/>
    <col width="8" customWidth="1" min="8" max="8"/>
    <col width="10" customWidth="1" min="9" max="9"/>
    <col width="9" customWidth="1" min="10" max="10"/>
    <col width="9" customWidth="1" min="11" max="11"/>
    <col width="9" customWidth="1" min="12" max="12"/>
    <col width="9" customWidth="1" min="13" max="13"/>
    <col width="10" customWidth="1" min="14" max="14"/>
    <col width="10" customWidth="1" min="15" max="15"/>
    <col width="9" customWidth="1" min="16" max="16"/>
  </cols>
  <sheetData>
    <row r="1">
      <c r="A1" s="24" t="inlineStr">
        <is>
          <t>成本构成（源：凯华-S56-奇瑞 20260918.xlsx 模板页签，未税）</t>
        </is>
      </c>
    </row>
    <row r="3">
      <c r="A3" s="6" t="inlineStr">
        <is>
          <t>序号</t>
        </is>
      </c>
      <c r="B3" s="6" t="inlineStr">
        <is>
          <t>零件名称</t>
        </is>
      </c>
      <c r="C3" s="6" t="inlineStr">
        <is>
          <t>物料号</t>
        </is>
      </c>
      <c r="D3" s="6" t="inlineStr">
        <is>
          <t>单车用量</t>
        </is>
      </c>
      <c r="E3" s="6" t="inlineStr">
        <is>
          <t>尺寸(mm)</t>
        </is>
      </c>
      <c r="F3" s="6" t="inlineStr">
        <is>
          <t>克重(g/㎡)</t>
        </is>
      </c>
      <c r="G3" s="6" t="inlineStr">
        <is>
          <t>材料㎡价</t>
        </is>
      </c>
      <c r="H3" s="6" t="inlineStr">
        <is>
          <t>单耗㎡</t>
        </is>
      </c>
      <c r="I3" s="6" t="inlineStr">
        <is>
          <t>材料成本</t>
        </is>
      </c>
      <c r="J3" s="6" t="inlineStr">
        <is>
          <t>加工费</t>
        </is>
      </c>
      <c r="K3" s="6" t="inlineStr">
        <is>
          <t>三项费用</t>
        </is>
      </c>
      <c r="L3" s="6" t="inlineStr">
        <is>
          <t>运输费</t>
        </is>
      </c>
      <c r="M3" s="6" t="inlineStr">
        <is>
          <t>包装费</t>
        </is>
      </c>
      <c r="N3" s="6" t="inlineStr">
        <is>
          <t>模具摊销</t>
        </is>
      </c>
      <c r="O3" s="6" t="inlineStr">
        <is>
          <t>成本合计</t>
        </is>
      </c>
      <c r="P3" s="6" t="inlineStr">
        <is>
          <t>元/kg</t>
        </is>
      </c>
    </row>
    <row r="4">
      <c r="A4" s="37" t="n">
        <v>1</v>
      </c>
      <c r="B4" s="2" t="inlineStr">
        <is>
          <t>S56_X3L_右C下吸音棉4</t>
        </is>
      </c>
      <c r="C4" s="2" t="inlineStr">
        <is>
          <t>510000000000013898</t>
        </is>
      </c>
      <c r="D4" s="37" t="n">
        <v>1</v>
      </c>
      <c r="E4" s="2" t="inlineStr">
        <is>
          <t>790×602×20</t>
        </is>
      </c>
      <c r="F4" s="37" t="n">
        <v>350</v>
      </c>
      <c r="G4" s="9" t="n">
        <v>4.375</v>
      </c>
      <c r="H4" s="9" t="n">
        <v>0.4177</v>
      </c>
      <c r="I4" s="9" t="n">
        <v>1.8274375</v>
      </c>
      <c r="J4" s="9" t="n">
        <v>0.25</v>
      </c>
      <c r="K4" s="9" t="n">
        <v>0.166195</v>
      </c>
      <c r="L4" s="9" t="n">
        <v>0.184125958333333</v>
      </c>
      <c r="M4" s="9" t="n">
        <v>0.0810745833333333</v>
      </c>
      <c r="N4" s="9" t="n">
        <v>0.0375</v>
      </c>
      <c r="O4" s="9" t="n">
        <v>2.54633304166667</v>
      </c>
      <c r="P4" s="9" t="n">
        <v>15.2976097857453</v>
      </c>
    </row>
    <row r="5">
      <c r="A5" s="37" t="n">
        <v>2</v>
      </c>
      <c r="B5" s="2" t="inlineStr">
        <is>
          <t>S56_X3L_左C下吸音棉5</t>
        </is>
      </c>
      <c r="C5" s="2" t="inlineStr">
        <is>
          <t>510000000000013897</t>
        </is>
      </c>
      <c r="D5" s="37" t="n">
        <v>1</v>
      </c>
      <c r="E5" s="2" t="inlineStr">
        <is>
          <t>967×386×20</t>
        </is>
      </c>
      <c r="F5" s="37" t="n">
        <v>350</v>
      </c>
      <c r="G5" s="9" t="n">
        <v>4.375</v>
      </c>
      <c r="H5" s="9" t="n">
        <v>0.238</v>
      </c>
      <c r="I5" s="9" t="n">
        <v>1.04125</v>
      </c>
      <c r="J5" s="9" t="n">
        <v>0.25</v>
      </c>
      <c r="K5" s="9" t="n">
        <v>0.1033</v>
      </c>
      <c r="L5" s="9" t="n">
        <v>0.110475575</v>
      </c>
      <c r="M5" s="9" t="n">
        <v>0.04864475</v>
      </c>
      <c r="N5" s="9" t="n">
        <v>0.0375</v>
      </c>
      <c r="O5" s="9" t="n">
        <v>1.591170325</v>
      </c>
      <c r="P5" s="9" t="n">
        <v>12.1796510991513</v>
      </c>
    </row>
    <row r="6">
      <c r="A6" s="37" t="n">
        <v>3</v>
      </c>
      <c r="B6" s="2" t="inlineStr">
        <is>
          <t>S56_X3L_右C下吸音棉5</t>
        </is>
      </c>
      <c r="C6" s="2" t="inlineStr">
        <is>
          <t>510000000000013899</t>
        </is>
      </c>
      <c r="D6" s="37" t="n">
        <v>1</v>
      </c>
      <c r="E6" s="2" t="inlineStr">
        <is>
          <t>968×346×20</t>
        </is>
      </c>
      <c r="F6" s="37" t="n">
        <v>350</v>
      </c>
      <c r="G6" s="9" t="n">
        <v>4.375</v>
      </c>
      <c r="H6" s="9" t="n">
        <v>0.2178</v>
      </c>
      <c r="I6" s="9" t="n">
        <v>0.952875</v>
      </c>
      <c r="J6" s="9" t="n">
        <v>0.25</v>
      </c>
      <c r="K6" s="9" t="n">
        <v>0.09623</v>
      </c>
      <c r="L6" s="9" t="n">
        <v>0.110475575</v>
      </c>
      <c r="M6" s="9" t="n">
        <v>0.04864475</v>
      </c>
      <c r="N6" s="9" t="n">
        <v>0.0375</v>
      </c>
      <c r="O6" s="9" t="n">
        <v>1.495725325</v>
      </c>
      <c r="P6" s="9" t="n">
        <v>12.759461521794</v>
      </c>
    </row>
    <row r="7">
      <c r="A7" s="37" t="n">
        <v>4</v>
      </c>
      <c r="B7" s="2" t="inlineStr">
        <is>
          <t>S56_X3L_左C下吸音棉4</t>
        </is>
      </c>
      <c r="C7" s="2" t="inlineStr">
        <is>
          <t>510000000000013896</t>
        </is>
      </c>
      <c r="D7" s="37" t="n">
        <v>1</v>
      </c>
      <c r="E7" s="2" t="inlineStr">
        <is>
          <t>731×502×20</t>
        </is>
      </c>
      <c r="F7" s="37" t="n">
        <v>350</v>
      </c>
      <c r="G7" s="9" t="n">
        <v>4.375</v>
      </c>
      <c r="H7" s="9" t="n">
        <v>0.3657</v>
      </c>
      <c r="I7" s="9" t="n">
        <v>1.5999375</v>
      </c>
      <c r="J7" s="9" t="n">
        <v>0.25</v>
      </c>
      <c r="K7" s="9" t="n">
        <v>0.147995</v>
      </c>
      <c r="L7" s="9" t="n">
        <v>0.1572725</v>
      </c>
      <c r="M7" s="9" t="n">
        <v>0.0691164583333333</v>
      </c>
      <c r="N7" s="9" t="n">
        <v>0.0375</v>
      </c>
      <c r="O7" s="9" t="n">
        <v>2.26182145833333</v>
      </c>
      <c r="P7" s="9" t="n">
        <v>17.6103984167558</v>
      </c>
    </row>
    <row r="8">
      <c r="A8" s="37" t="n">
        <v>5</v>
      </c>
      <c r="B8" s="2" t="inlineStr">
        <is>
          <t>S56_X3_吸音棉2</t>
        </is>
      </c>
      <c r="C8" s="2" t="inlineStr">
        <is>
          <t>510000000000012330</t>
        </is>
      </c>
      <c r="D8" s="37" t="n">
        <v>2</v>
      </c>
      <c r="E8" s="2" t="inlineStr">
        <is>
          <t>243×237×20</t>
        </is>
      </c>
      <c r="F8" s="37" t="n">
        <v>350</v>
      </c>
      <c r="G8" s="9" t="n">
        <v>4.375</v>
      </c>
      <c r="H8" s="9" t="n">
        <v>0.0636</v>
      </c>
      <c r="I8" s="9" t="n">
        <v>0.27825</v>
      </c>
      <c r="J8" s="9" t="n">
        <v>0.0833333333333333</v>
      </c>
      <c r="K8" s="9" t="n">
        <v>0.0289266666666667</v>
      </c>
      <c r="L8" s="9" t="n">
        <v>0.01807491</v>
      </c>
      <c r="M8" s="9" t="n">
        <v>0.0111188</v>
      </c>
      <c r="N8" s="9" t="n">
        <v>0.0125</v>
      </c>
      <c r="O8" s="9" t="n">
        <v>0.43220371</v>
      </c>
      <c r="P8" s="9" t="n">
        <v>21.4420264078961</v>
      </c>
    </row>
    <row r="9">
      <c r="A9" s="37" t="n">
        <v>6</v>
      </c>
      <c r="B9" s="2" t="inlineStr">
        <is>
          <t>S56_X3_左下吸音棉3</t>
        </is>
      </c>
      <c r="C9" s="2" t="inlineStr">
        <is>
          <t>510000000000012721</t>
        </is>
      </c>
      <c r="D9" s="37" t="n">
        <v>1</v>
      </c>
      <c r="E9" s="2" t="inlineStr">
        <is>
          <t>745×283×20</t>
        </is>
      </c>
      <c r="F9" s="37" t="n">
        <v>350</v>
      </c>
      <c r="G9" s="9" t="n">
        <v>4.375</v>
      </c>
      <c r="H9" s="9" t="n">
        <v>0.1645</v>
      </c>
      <c r="I9" s="9" t="n">
        <v>0.7196875</v>
      </c>
      <c r="J9" s="9" t="n">
        <v>0.125</v>
      </c>
      <c r="K9" s="9" t="n">
        <v>0.067575</v>
      </c>
      <c r="L9" s="9" t="n">
        <v>0.0754908</v>
      </c>
      <c r="M9" s="9" t="n">
        <v>0.0331759</v>
      </c>
      <c r="N9" s="9" t="n">
        <v>0.01875</v>
      </c>
      <c r="O9" s="9" t="n">
        <v>1.0396792</v>
      </c>
      <c r="P9" s="9" t="n">
        <v>14.0892736025802</v>
      </c>
    </row>
    <row r="10">
      <c r="A10" s="37" t="n">
        <v>7</v>
      </c>
      <c r="B10" s="2" t="inlineStr">
        <is>
          <t>S56_X3_左下吸音棉2</t>
        </is>
      </c>
      <c r="C10" s="2" t="inlineStr">
        <is>
          <t>510000000000012720</t>
        </is>
      </c>
      <c r="D10" s="37" t="n">
        <v>1</v>
      </c>
      <c r="E10" s="2" t="inlineStr">
        <is>
          <t>559×260×20</t>
        </is>
      </c>
      <c r="F10" s="37" t="n">
        <v>350</v>
      </c>
      <c r="G10" s="9" t="n">
        <v>4.375</v>
      </c>
      <c r="H10" s="9" t="n">
        <v>0.1454</v>
      </c>
      <c r="I10" s="9" t="n">
        <v>0.6361250000000001</v>
      </c>
      <c r="J10" s="9" t="n">
        <v>0.0833333333333333</v>
      </c>
      <c r="K10" s="9" t="n">
        <v>0.0575566666666667</v>
      </c>
      <c r="L10" s="9" t="n">
        <v>0.0613753194444444</v>
      </c>
      <c r="M10" s="9" t="n">
        <v>0.0270248611111111</v>
      </c>
      <c r="N10" s="9" t="n">
        <v>0.0125</v>
      </c>
      <c r="O10" s="9" t="n">
        <v>0.877915180555556</v>
      </c>
      <c r="P10" s="9" t="n">
        <v>17.2583534285234</v>
      </c>
    </row>
    <row r="11">
      <c r="A11" s="37" t="n">
        <v>8</v>
      </c>
      <c r="B11" s="2" t="inlineStr">
        <is>
          <t>S56_X3_03T吸音棉1</t>
        </is>
      </c>
      <c r="C11" s="2" t="inlineStr">
        <is>
          <t>510000000000012328</t>
        </is>
      </c>
      <c r="D11" s="37" t="n">
        <v>2</v>
      </c>
      <c r="E11" s="2" t="inlineStr">
        <is>
          <t>398×80×20</t>
        </is>
      </c>
      <c r="F11" s="37" t="n">
        <v>350</v>
      </c>
      <c r="G11" s="9" t="n">
        <v>4.375</v>
      </c>
      <c r="H11" s="9" t="n">
        <v>0.0398</v>
      </c>
      <c r="I11" s="9" t="n">
        <v>0.174125</v>
      </c>
      <c r="J11" s="9" t="n">
        <v>0.0555555555555556</v>
      </c>
      <c r="K11" s="9" t="n">
        <v>0.0183744444444444</v>
      </c>
      <c r="L11" s="9" t="n">
        <v>0.01204994</v>
      </c>
      <c r="M11" s="9" t="n">
        <v>0.00741253333333333</v>
      </c>
      <c r="N11" s="9" t="n">
        <v>0.00833333333333333</v>
      </c>
      <c r="O11" s="9" t="n">
        <v>0.275850806666667</v>
      </c>
      <c r="P11" s="9" t="n">
        <v>24.753302823642</v>
      </c>
    </row>
    <row r="12">
      <c r="A12" s="37" t="n">
        <v>9</v>
      </c>
      <c r="B12" s="2" t="inlineStr">
        <is>
          <t>S56_X3_C上吸音棉3</t>
        </is>
      </c>
      <c r="C12" s="2" t="inlineStr">
        <is>
          <t>510000000000012726</t>
        </is>
      </c>
      <c r="D12" s="37" t="n">
        <v>1</v>
      </c>
      <c r="E12" s="2" t="inlineStr">
        <is>
          <t>396×82×20</t>
        </is>
      </c>
      <c r="F12" s="37" t="n">
        <v>350</v>
      </c>
      <c r="G12" s="9" t="n">
        <v>4.375</v>
      </c>
      <c r="H12" s="9" t="n">
        <v>0.0312</v>
      </c>
      <c r="I12" s="9" t="n">
        <v>0.1365</v>
      </c>
      <c r="J12" s="9" t="n">
        <v>0.03125</v>
      </c>
      <c r="K12" s="9" t="n">
        <v>0.01342</v>
      </c>
      <c r="L12" s="9" t="n">
        <v>0.01204994</v>
      </c>
      <c r="M12" s="9" t="n">
        <v>0.00741253333333333</v>
      </c>
      <c r="N12" s="9" t="n">
        <v>0.0046875</v>
      </c>
      <c r="O12" s="9" t="n">
        <v>0.205319973333333</v>
      </c>
      <c r="P12" s="9" t="n">
        <v>18.0656718168913</v>
      </c>
    </row>
    <row r="13">
      <c r="A13" s="37" t="n">
        <v>10</v>
      </c>
      <c r="B13" s="2" t="inlineStr">
        <is>
          <t>S56_X3_右下吸音棉2</t>
        </is>
      </c>
      <c r="C13" s="2" t="inlineStr">
        <is>
          <t>510000000000012727</t>
        </is>
      </c>
      <c r="D13" s="37" t="n">
        <v>1</v>
      </c>
      <c r="E13" s="2" t="inlineStr">
        <is>
          <t>526×515×20</t>
        </is>
      </c>
      <c r="F13" s="37" t="n">
        <v>350</v>
      </c>
      <c r="G13" s="9" t="n">
        <v>4.375</v>
      </c>
      <c r="H13" s="9" t="n">
        <v>0.2352</v>
      </c>
      <c r="I13" s="9" t="n">
        <v>1.029</v>
      </c>
      <c r="J13" s="9" t="n">
        <v>0.0833333333333333</v>
      </c>
      <c r="K13" s="9" t="n">
        <v>0.0889866666666667</v>
      </c>
      <c r="L13" s="9" t="n">
        <v>0.1129681875</v>
      </c>
      <c r="M13" s="9" t="n">
        <v>0.0694925</v>
      </c>
      <c r="N13" s="9" t="n">
        <v>0.0125</v>
      </c>
      <c r="O13" s="9" t="n">
        <v>1.3962806875</v>
      </c>
      <c r="P13" s="9" t="n">
        <v>14.7269127426525</v>
      </c>
    </row>
    <row r="14">
      <c r="A14" s="37" t="n">
        <v>11</v>
      </c>
      <c r="B14" s="2" t="inlineStr">
        <is>
          <t>S56_X3_C上吸音棉2</t>
        </is>
      </c>
      <c r="C14" s="2" t="inlineStr">
        <is>
          <t>510000000000012725</t>
        </is>
      </c>
      <c r="D14" s="37" t="n">
        <v>1</v>
      </c>
      <c r="E14" s="2" t="inlineStr">
        <is>
          <t>490×86×20</t>
        </is>
      </c>
      <c r="F14" s="37" t="n">
        <v>350</v>
      </c>
      <c r="G14" s="9" t="n">
        <v>4.375</v>
      </c>
      <c r="H14" s="9" t="n">
        <v>0.054</v>
      </c>
      <c r="I14" s="9" t="n">
        <v>0.23625</v>
      </c>
      <c r="J14" s="9" t="n">
        <v>0.0625</v>
      </c>
      <c r="K14" s="9" t="n">
        <v>0.0239</v>
      </c>
      <c r="L14" s="9" t="n">
        <v>0.015062425</v>
      </c>
      <c r="M14" s="9" t="n">
        <v>0.00926566666666667</v>
      </c>
      <c r="N14" s="9" t="n">
        <v>0.009375</v>
      </c>
      <c r="O14" s="9" t="n">
        <v>0.356353091666667</v>
      </c>
      <c r="P14" s="9" t="n">
        <v>24.1611696838204</v>
      </c>
    </row>
    <row r="15">
      <c r="A15" s="37" t="n">
        <v>12</v>
      </c>
      <c r="B15" s="2" t="inlineStr">
        <is>
          <t>S56_X3_C上吸音棉1</t>
        </is>
      </c>
      <c r="C15" s="2" t="inlineStr">
        <is>
          <t>510000000000012724</t>
        </is>
      </c>
      <c r="D15" s="37" t="n">
        <v>1</v>
      </c>
      <c r="E15" s="2" t="inlineStr">
        <is>
          <t>238×86×20</t>
        </is>
      </c>
      <c r="F15" s="37" t="n">
        <v>350</v>
      </c>
      <c r="G15" s="9" t="n">
        <v>4.375</v>
      </c>
      <c r="H15" s="9" t="n">
        <v>0.028</v>
      </c>
      <c r="I15" s="9" t="n">
        <v>0.1225</v>
      </c>
      <c r="J15" s="9" t="n">
        <v>0.0625</v>
      </c>
      <c r="K15" s="9" t="n">
        <v>0.0148</v>
      </c>
      <c r="L15" s="9" t="n">
        <v>0.009037455</v>
      </c>
      <c r="M15" s="9" t="n">
        <v>0.0055594</v>
      </c>
      <c r="N15" s="9" t="n">
        <v>0.009375</v>
      </c>
      <c r="O15" s="9" t="n">
        <v>0.223771855</v>
      </c>
      <c r="P15" s="9" t="n">
        <v>31.2364743571847</v>
      </c>
    </row>
    <row r="16">
      <c r="A16" s="37" t="n">
        <v>13</v>
      </c>
      <c r="B16" s="2" t="inlineStr">
        <is>
          <t>S56_X3_C下吸音棉1</t>
        </is>
      </c>
      <c r="C16" s="2" t="inlineStr">
        <is>
          <t>510000000000012719</t>
        </is>
      </c>
      <c r="D16" s="37" t="n">
        <v>2</v>
      </c>
      <c r="E16" s="2" t="inlineStr">
        <is>
          <t>260×116×20</t>
        </is>
      </c>
      <c r="F16" s="37" t="n">
        <v>350</v>
      </c>
      <c r="G16" s="9" t="n">
        <v>4.375</v>
      </c>
      <c r="H16" s="9" t="n">
        <v>0.0366</v>
      </c>
      <c r="I16" s="9" t="n">
        <v>0.160125</v>
      </c>
      <c r="J16" s="9" t="n">
        <v>0.0555555555555556</v>
      </c>
      <c r="K16" s="9" t="n">
        <v>0.0172544444444444</v>
      </c>
      <c r="L16" s="9" t="n">
        <v>0.01204994</v>
      </c>
      <c r="M16" s="9" t="n">
        <v>0.00741253333333333</v>
      </c>
      <c r="N16" s="9" t="n">
        <v>0.00833333333333333</v>
      </c>
      <c r="O16" s="9" t="n">
        <v>0.260730806666667</v>
      </c>
      <c r="P16" s="9" t="n">
        <v>24.6997732727043</v>
      </c>
    </row>
    <row r="17">
      <c r="A17" s="38" t="n">
        <v>14</v>
      </c>
      <c r="B17" s="39" t="inlineStr">
        <is>
          <t>S56_X3_B下吸音棉</t>
        </is>
      </c>
      <c r="C17" s="39" t="inlineStr">
        <is>
          <t>510000000000012723</t>
        </is>
      </c>
      <c r="D17" s="39" t="inlineStr">
        <is>
          <t>0不生产</t>
        </is>
      </c>
      <c r="E17" s="39" t="inlineStr">
        <is>
          <t>—</t>
        </is>
      </c>
      <c r="F17" s="39" t="n"/>
      <c r="G17" s="40" t="n"/>
      <c r="H17" s="41" t="n">
        <v>2.0375</v>
      </c>
      <c r="I17" s="41" t="n">
        <v>8.9140625</v>
      </c>
      <c r="J17" s="41" t="n">
        <v>1.64236111111111</v>
      </c>
      <c r="K17" s="41" t="n">
        <v>0.844513888888889</v>
      </c>
      <c r="L17" s="41" t="n">
        <v>0.890508525277778</v>
      </c>
      <c r="M17" s="41" t="n">
        <v>0.425355269444444</v>
      </c>
      <c r="N17" s="41" t="n">
        <v>0.246354166666667</v>
      </c>
      <c r="O17" s="41" t="n">
        <v>12.9631554613889</v>
      </c>
      <c r="P17" s="40" t="n"/>
      <c r="Q17" s="42" t="inlineStr">
        <is>
          <t>不生产（无尺寸，成本占位数字，作废）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2026-09-18T04:52:05Z</dcterms:created>
  <dcterms:modified xmlns:dcterms="http://purl.org/dc/terms/" xmlns:xsi="http://www.w3.org/2001/XMLSchema-instance" xsi:type="dcterms:W3CDTF">2026-09-18T04:56:12Z</dcterms:modified>
</cp:coreProperties>
</file>
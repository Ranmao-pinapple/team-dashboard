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清单" sheetId="1" state="visible" r:id="rId1"/>
    <sheet xmlns:r="http://schemas.openxmlformats.org/officeDocument/2006/relationships" name="首单PO4500127228" sheetId="2" state="visible" r:id="rId2"/>
    <sheet xmlns:r="http://schemas.openxmlformats.org/officeDocument/2006/relationships" name="图纸与排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%"/>
    <numFmt numFmtId="167" formatCode="0.0"/>
    <numFmt numFmtId="168" formatCode="+0.0%;-0.0%"/>
  </numFmts>
  <fonts count="8">
    <font>
      <name val="Calibri"/>
      <family val="2"/>
      <color theme="1"/>
      <sz val="11"/>
      <scheme val="minor"/>
    </font>
    <font>
      <name val="微软雅黑"/>
      <b val="1"/>
      <color rgb="FFE82127"/>
      <sz val="14"/>
    </font>
    <font>
      <name val="微软雅黑"/>
      <color rgb="FF5C5E62"/>
      <sz val="9"/>
    </font>
    <font>
      <name val="微软雅黑"/>
      <b val="1"/>
      <color rgb="FFFFFFFF"/>
      <sz val="10"/>
    </font>
    <font>
      <name val="微软雅黑"/>
      <color rgb="FF171A20"/>
      <sz val="10"/>
    </font>
    <font>
      <name val="微软雅黑"/>
      <b val="1"/>
      <color rgb="FF171A20"/>
      <sz val="10"/>
    </font>
    <font>
      <name val="微软雅黑"/>
      <b val="1"/>
      <color rgb="FFE82127"/>
      <sz val="13"/>
    </font>
    <font>
      <name val="微软雅黑"/>
      <b val="1"/>
      <color rgb="FFE82127"/>
      <sz val="12"/>
    </font>
  </fonts>
  <fills count="5">
    <fill>
      <patternFill/>
    </fill>
    <fill>
      <patternFill patternType="gray125"/>
    </fill>
    <fill>
      <patternFill patternType="solid">
        <fgColor rgb="FFE82127"/>
      </patternFill>
    </fill>
    <fill>
      <patternFill patternType="solid">
        <fgColor rgb="FFFFE2E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2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left" vertical="center"/>
    </xf>
    <xf numFmtId="0" fontId="7" fillId="0" borderId="0" pivotButton="0" quotePrefix="0" xfId="0"/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left" vertical="center"/>
    </xf>
    <xf numFmtId="168" fontId="4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5" customWidth="1" min="4" max="4"/>
    <col width="8" customWidth="1" min="5" max="5"/>
    <col width="11" customWidth="1" min="6" max="6"/>
    <col width="20" customWidth="1" min="7" max="7"/>
    <col width="14" customWidth="1" min="8" max="8"/>
    <col width="9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0" customWidth="1" min="16" max="16"/>
    <col width="9" customWidth="1" min="17" max="17"/>
    <col width="8" customWidth="1" min="18" max="18"/>
    <col width="14" customWidth="1" min="19" max="19"/>
    <col width="16" customWidth="1" min="20" max="20"/>
  </cols>
  <sheetData>
    <row r="1">
      <c r="A1" s="1" t="inlineStr">
        <is>
          <t>S56（奇瑞 S56_X3 / S56_X3L）吸音棉 零件清单</t>
        </is>
      </c>
    </row>
    <row r="2">
      <c r="A2" s="2" t="inlineStr">
        <is>
          <t>客户：浙江凯华（凯华汽车科技(安徽)有限公司，芜湖南陵）  ｜  主机厂：奇瑞  ｜  定点 2026-09-16  ｜  年产量 50,000 套  ｜  EOP 2029.12  ｜  材料：PP/PET 吸音棉 350g/㎡ × 20mm，幅宽 1200mm</t>
        </is>
      </c>
    </row>
    <row r="3">
      <c r="A3" s="2" t="inlineStr">
        <is>
          <t>口径：成本未税（含材料+加工+三项费用+运输+包装+模具摊销）｜报价未税=成本÷(1−22.31%)，含税=未税×1.13 ｜单价单位：元/件 ｜ 单耗/面积口径见「图纸与排版」页</t>
        </is>
      </c>
    </row>
    <row r="5" ht="34" customHeight="1">
      <c r="A5" s="3" t="inlineStr">
        <is>
          <t>序号</t>
        </is>
      </c>
      <c r="B5" s="3" t="inlineStr">
        <is>
          <t>零件名称（官方）</t>
        </is>
      </c>
      <c r="C5" s="3" t="inlineStr">
        <is>
          <t>物料号（18位）</t>
        </is>
      </c>
      <c r="D5" s="3" t="inlineStr">
        <is>
          <t>图号/图纸文件</t>
        </is>
      </c>
      <c r="E5" s="3" t="inlineStr">
        <is>
          <t>单车用量</t>
        </is>
      </c>
      <c r="F5" s="3" t="inlineStr">
        <is>
          <t>年量（件）</t>
        </is>
      </c>
      <c r="G5" s="3" t="inlineStr">
        <is>
          <t>产品规格 长×宽×厚(mm)</t>
        </is>
      </c>
      <c r="H5" s="3" t="inlineStr">
        <is>
          <t>材料</t>
        </is>
      </c>
      <c r="I5" s="3" t="inlineStr">
        <is>
          <t>克重(g/㎡)</t>
        </is>
      </c>
      <c r="J5" s="3" t="inlineStr">
        <is>
          <t>成品净面积(㎡)</t>
        </is>
      </c>
      <c r="K5" s="3" t="inlineStr">
        <is>
          <t>单件重量(kg)</t>
        </is>
      </c>
      <c r="L5" s="3" t="inlineStr">
        <is>
          <t>下料单耗(㎡/件)</t>
        </is>
      </c>
      <c r="M5" s="3" t="inlineStr">
        <is>
          <t>材料成本</t>
        </is>
      </c>
      <c r="N5" s="3" t="inlineStr">
        <is>
          <t>单件成本未税</t>
        </is>
      </c>
      <c r="O5" s="3" t="inlineStr">
        <is>
          <t>报价未税</t>
        </is>
      </c>
      <c r="P5" s="3" t="inlineStr">
        <is>
          <t>报价含税</t>
        </is>
      </c>
      <c r="Q5" s="3" t="inlineStr">
        <is>
          <t>单件净利</t>
        </is>
      </c>
      <c r="R5" s="3" t="inlineStr">
        <is>
          <t>毛利率</t>
        </is>
      </c>
      <c r="S5" s="3" t="inlineStr">
        <is>
          <t>首单PO4500127228</t>
        </is>
      </c>
      <c r="T5" s="3" t="inlineStr">
        <is>
          <t>状态</t>
        </is>
      </c>
    </row>
    <row r="6">
      <c r="A6" s="4" t="n">
        <v>1</v>
      </c>
      <c r="B6" s="5" t="inlineStr">
        <is>
          <t>S56_X3L_右C下吸音棉4</t>
        </is>
      </c>
      <c r="C6" s="5" t="inlineStr">
        <is>
          <t>510000000000013898</t>
        </is>
      </c>
      <c r="D6" s="5" t="inlineStr">
        <is>
          <t>凯华(1).dwg</t>
        </is>
      </c>
      <c r="E6" s="6" t="n">
        <v>1</v>
      </c>
      <c r="F6" s="7" t="n">
        <v>50000</v>
      </c>
      <c r="G6" s="5" t="inlineStr">
        <is>
          <t>790×602×20</t>
        </is>
      </c>
      <c r="H6" s="5" t="inlineStr">
        <is>
          <t>PP/PET 吸音棉</t>
        </is>
      </c>
      <c r="I6" s="6" t="n">
        <v>350</v>
      </c>
      <c r="J6" s="8" t="n">
        <v>0.2147</v>
      </c>
      <c r="K6" s="8" t="n">
        <v>0.0751</v>
      </c>
      <c r="L6" s="8" t="n">
        <v>0.4177</v>
      </c>
      <c r="M6" s="8" t="n">
        <v>1.8274</v>
      </c>
      <c r="N6" s="8" t="n">
        <v>2.5463</v>
      </c>
      <c r="O6" s="8" t="n">
        <v>3.2774</v>
      </c>
      <c r="P6" s="9" t="n">
        <v>3.703</v>
      </c>
      <c r="Q6" s="8" t="n">
        <v>0.7311</v>
      </c>
      <c r="R6" s="10" t="n">
        <v>0.223066</v>
      </c>
      <c r="S6" s="7" t="n">
        <v>2120</v>
      </c>
      <c r="T6" s="5" t="inlineStr">
        <is>
          <t>🟢 首单已下</t>
        </is>
      </c>
    </row>
    <row r="7">
      <c r="A7" s="4" t="n">
        <v>2</v>
      </c>
      <c r="B7" s="5" t="inlineStr">
        <is>
          <t>S56_X3_C上吸音棉1</t>
        </is>
      </c>
      <c r="C7" s="5" t="inlineStr">
        <is>
          <t>510000000000012724</t>
        </is>
      </c>
      <c r="D7" s="5" t="inlineStr">
        <is>
          <t>凯华2(1).dwg</t>
        </is>
      </c>
      <c r="E7" s="6" t="n">
        <v>1</v>
      </c>
      <c r="F7" s="7" t="n">
        <v>50000</v>
      </c>
      <c r="G7" s="5" t="inlineStr">
        <is>
          <t>238×86×20</t>
        </is>
      </c>
      <c r="H7" s="5" t="inlineStr">
        <is>
          <t>PP/PET 吸音棉</t>
        </is>
      </c>
      <c r="I7" s="6" t="n">
        <v>350</v>
      </c>
      <c r="J7" s="8" t="n">
        <v>0.0204</v>
      </c>
      <c r="K7" s="8" t="n">
        <v>0.0071</v>
      </c>
      <c r="L7" s="8" t="n">
        <v>0.028</v>
      </c>
      <c r="M7" s="8" t="n">
        <v>0.1225</v>
      </c>
      <c r="N7" s="8" t="n">
        <v>0.2238</v>
      </c>
      <c r="O7" s="8" t="n">
        <v>0.288</v>
      </c>
      <c r="P7" s="9" t="n">
        <v>0.325</v>
      </c>
      <c r="Q7" s="8" t="n">
        <v>0.06419999999999999</v>
      </c>
      <c r="R7" s="10" t="n">
        <v>0.223066</v>
      </c>
      <c r="S7" s="7" t="n">
        <v>0</v>
      </c>
      <c r="T7" s="5" t="inlineStr">
        <is>
          <t>⚪ 待下单</t>
        </is>
      </c>
    </row>
    <row r="8">
      <c r="A8" s="4" t="n">
        <v>3</v>
      </c>
      <c r="B8" s="5" t="inlineStr">
        <is>
          <t>S56_X3_C上吸音棉2</t>
        </is>
      </c>
      <c r="C8" s="5" t="inlineStr">
        <is>
          <t>510000000000012725</t>
        </is>
      </c>
      <c r="D8" s="5" t="inlineStr">
        <is>
          <t>凯华2(1).dwg</t>
        </is>
      </c>
      <c r="E8" s="6" t="n">
        <v>1</v>
      </c>
      <c r="F8" s="7" t="n">
        <v>50000</v>
      </c>
      <c r="G8" s="5" t="inlineStr">
        <is>
          <t>490×86×20</t>
        </is>
      </c>
      <c r="H8" s="5" t="inlineStr">
        <is>
          <t>PP/PET 吸音棉</t>
        </is>
      </c>
      <c r="I8" s="6" t="n">
        <v>350</v>
      </c>
      <c r="J8" s="8" t="n">
        <v>0.0369</v>
      </c>
      <c r="K8" s="8" t="n">
        <v>0.0129</v>
      </c>
      <c r="L8" s="8" t="n">
        <v>0.054</v>
      </c>
      <c r="M8" s="8" t="n">
        <v>0.2362</v>
      </c>
      <c r="N8" s="8" t="n">
        <v>0.3564</v>
      </c>
      <c r="O8" s="8" t="n">
        <v>0.4587</v>
      </c>
      <c r="P8" s="9" t="n">
        <v>0.518</v>
      </c>
      <c r="Q8" s="8" t="n">
        <v>0.1023</v>
      </c>
      <c r="R8" s="10" t="n">
        <v>0.223066</v>
      </c>
      <c r="S8" s="7" t="n">
        <v>0</v>
      </c>
      <c r="T8" s="5" t="inlineStr">
        <is>
          <t>⚪ 待下单</t>
        </is>
      </c>
    </row>
    <row r="9">
      <c r="A9" s="4" t="n">
        <v>4</v>
      </c>
      <c r="B9" s="5" t="inlineStr">
        <is>
          <t>S56_X3_左下吸音棉3</t>
        </is>
      </c>
      <c r="C9" s="5" t="inlineStr">
        <is>
          <t>510000000000012721</t>
        </is>
      </c>
      <c r="D9" s="5" t="inlineStr">
        <is>
          <t>凯华2(1).dwg</t>
        </is>
      </c>
      <c r="E9" s="6" t="n">
        <v>1</v>
      </c>
      <c r="F9" s="7" t="n">
        <v>50000</v>
      </c>
      <c r="G9" s="5" t="inlineStr">
        <is>
          <t>745×283×20</t>
        </is>
      </c>
      <c r="H9" s="5" t="inlineStr">
        <is>
          <t>PP/PET 吸音棉</t>
        </is>
      </c>
      <c r="I9" s="6" t="n">
        <v>350</v>
      </c>
      <c r="J9" s="8" t="n">
        <v>0.07779999999999999</v>
      </c>
      <c r="K9" s="8" t="n">
        <v>0.0272</v>
      </c>
      <c r="L9" s="8" t="n">
        <v>0.1645</v>
      </c>
      <c r="M9" s="8" t="n">
        <v>0.7197</v>
      </c>
      <c r="N9" s="8" t="n">
        <v>1.0397</v>
      </c>
      <c r="O9" s="8" t="n">
        <v>1.3382</v>
      </c>
      <c r="P9" s="9" t="n">
        <v>1.512</v>
      </c>
      <c r="Q9" s="8" t="n">
        <v>0.2985</v>
      </c>
      <c r="R9" s="10" t="n">
        <v>0.223066</v>
      </c>
      <c r="S9" s="7" t="n">
        <v>0</v>
      </c>
      <c r="T9" s="5" t="inlineStr">
        <is>
          <t>⚪ 待下单</t>
        </is>
      </c>
    </row>
    <row r="10">
      <c r="A10" s="4" t="n">
        <v>5</v>
      </c>
      <c r="B10" s="5" t="inlineStr">
        <is>
          <t>S56_X3L_左C下吸音棉5</t>
        </is>
      </c>
      <c r="C10" s="5" t="inlineStr">
        <is>
          <t>510000000000013897</t>
        </is>
      </c>
      <c r="D10" s="5" t="inlineStr">
        <is>
          <t>凯华(1).dwg</t>
        </is>
      </c>
      <c r="E10" s="6" t="n">
        <v>1</v>
      </c>
      <c r="F10" s="7" t="n">
        <v>50000</v>
      </c>
      <c r="G10" s="5" t="inlineStr">
        <is>
          <t>967×386×20</t>
        </is>
      </c>
      <c r="H10" s="5" t="inlineStr">
        <is>
          <t>PP/PET 吸音棉</t>
        </is>
      </c>
      <c r="I10" s="6" t="n">
        <v>350</v>
      </c>
      <c r="J10" s="8" t="n">
        <v>0.157</v>
      </c>
      <c r="K10" s="8" t="n">
        <v>0.055</v>
      </c>
      <c r="L10" s="8" t="n">
        <v>0.238</v>
      </c>
      <c r="M10" s="8" t="n">
        <v>1.0413</v>
      </c>
      <c r="N10" s="8" t="n">
        <v>1.5912</v>
      </c>
      <c r="O10" s="8" t="n">
        <v>2.048</v>
      </c>
      <c r="P10" s="9" t="n">
        <v>2.314</v>
      </c>
      <c r="Q10" s="8" t="n">
        <v>0.4568</v>
      </c>
      <c r="R10" s="10" t="n">
        <v>0.2230659999999999</v>
      </c>
      <c r="S10" s="7" t="n">
        <v>1000</v>
      </c>
      <c r="T10" s="5" t="inlineStr">
        <is>
          <t>🟢 首单已下</t>
        </is>
      </c>
    </row>
    <row r="11">
      <c r="A11" s="4" t="n">
        <v>6</v>
      </c>
      <c r="B11" s="5" t="inlineStr">
        <is>
          <t>S56_X3L_右C下吸音棉5</t>
        </is>
      </c>
      <c r="C11" s="5" t="inlineStr">
        <is>
          <t>510000000000013899</t>
        </is>
      </c>
      <c r="D11" s="5" t="inlineStr">
        <is>
          <t>凯华(1).dwg</t>
        </is>
      </c>
      <c r="E11" s="6" t="n">
        <v>1</v>
      </c>
      <c r="F11" s="7" t="n">
        <v>50000</v>
      </c>
      <c r="G11" s="5" t="inlineStr">
        <is>
          <t>968×346×20</t>
        </is>
      </c>
      <c r="H11" s="5" t="inlineStr">
        <is>
          <t>PP/PET 吸音棉</t>
        </is>
      </c>
      <c r="I11" s="6" t="n">
        <v>350</v>
      </c>
      <c r="J11" s="8" t="n">
        <v>0.1379</v>
      </c>
      <c r="K11" s="8" t="n">
        <v>0.0483</v>
      </c>
      <c r="L11" s="8" t="n">
        <v>0.2178</v>
      </c>
      <c r="M11" s="8" t="n">
        <v>0.9529</v>
      </c>
      <c r="N11" s="8" t="n">
        <v>1.4957</v>
      </c>
      <c r="O11" s="8" t="n">
        <v>1.9252</v>
      </c>
      <c r="P11" s="9" t="n">
        <v>2.175</v>
      </c>
      <c r="Q11" s="8" t="n">
        <v>0.4294</v>
      </c>
      <c r="R11" s="10" t="n">
        <v>0.223066</v>
      </c>
      <c r="S11" s="7" t="n">
        <v>2070</v>
      </c>
      <c r="T11" s="5" t="inlineStr">
        <is>
          <t>🟢 首单已下</t>
        </is>
      </c>
    </row>
    <row r="12">
      <c r="A12" s="11" t="n">
        <v>7</v>
      </c>
      <c r="B12" s="12" t="inlineStr">
        <is>
          <t>S56_X3_B下吸音棉</t>
        </is>
      </c>
      <c r="C12" s="12" t="inlineStr">
        <is>
          <t>510000000000012723</t>
        </is>
      </c>
      <c r="D12" s="12" t="inlineStr">
        <is>
          <t>凯华2(1).dwg</t>
        </is>
      </c>
      <c r="E12" s="13" t="inlineStr">
        <is>
          <t>0（不生产）</t>
        </is>
      </c>
      <c r="F12" s="14" t="n">
        <v>0</v>
      </c>
      <c r="G12" s="12" t="inlineStr">
        <is>
          <t>—</t>
        </is>
      </c>
      <c r="H12" s="12" t="inlineStr">
        <is>
          <t>PP/PET 吸音棉</t>
        </is>
      </c>
      <c r="I12" s="13" t="inlineStr">
        <is>
          <t>—</t>
        </is>
      </c>
      <c r="J12" s="15" t="n">
        <v>0.0822</v>
      </c>
      <c r="K12" s="15" t="n">
        <v>0.0288</v>
      </c>
      <c r="L12" s="15" t="n">
        <v>2.0375</v>
      </c>
      <c r="M12" s="15" t="n">
        <v>8.914099999999999</v>
      </c>
      <c r="N12" s="15" t="n">
        <v>12.9632</v>
      </c>
      <c r="O12" s="16" t="inlineStr">
        <is>
          <t>—</t>
        </is>
      </c>
      <c r="P12" s="17" t="inlineStr">
        <is>
          <t>—</t>
        </is>
      </c>
      <c r="Q12" s="16" t="inlineStr">
        <is>
          <t>—</t>
        </is>
      </c>
      <c r="R12" s="18" t="inlineStr">
        <is>
          <t>—</t>
        </is>
      </c>
      <c r="S12" s="14" t="n">
        <v>0</v>
      </c>
      <c r="T12" s="12" t="inlineStr">
        <is>
          <t>🛑 不生产</t>
        </is>
      </c>
    </row>
    <row r="13">
      <c r="A13" s="4" t="n">
        <v>8</v>
      </c>
      <c r="B13" s="5" t="inlineStr">
        <is>
          <t>S56_X3L_左C下吸音棉4</t>
        </is>
      </c>
      <c r="C13" s="5" t="inlineStr">
        <is>
          <t>510000000000013896</t>
        </is>
      </c>
      <c r="D13" s="5" t="inlineStr">
        <is>
          <t>凯华(1).dwg</t>
        </is>
      </c>
      <c r="E13" s="6" t="n">
        <v>1</v>
      </c>
      <c r="F13" s="7" t="n">
        <v>50000</v>
      </c>
      <c r="G13" s="5" t="inlineStr">
        <is>
          <t>731×502×20</t>
        </is>
      </c>
      <c r="H13" s="5" t="inlineStr">
        <is>
          <t>PP/PET 吸音棉</t>
        </is>
      </c>
      <c r="I13" s="6" t="n">
        <v>350</v>
      </c>
      <c r="J13" s="8" t="n">
        <v>0.2136</v>
      </c>
      <c r="K13" s="8" t="n">
        <v>0.07480000000000001</v>
      </c>
      <c r="L13" s="8" t="n">
        <v>0.3657</v>
      </c>
      <c r="M13" s="8" t="n">
        <v>1.5999</v>
      </c>
      <c r="N13" s="8" t="n">
        <v>2.2618</v>
      </c>
      <c r="O13" s="8" t="n">
        <v>2.9112</v>
      </c>
      <c r="P13" s="9" t="n">
        <v>3.29</v>
      </c>
      <c r="Q13" s="8" t="n">
        <v>0.6494</v>
      </c>
      <c r="R13" s="10" t="n">
        <v>0.223066</v>
      </c>
      <c r="S13" s="7" t="n">
        <v>1850</v>
      </c>
      <c r="T13" s="5" t="inlineStr">
        <is>
          <t>🟢 首单已下</t>
        </is>
      </c>
    </row>
    <row r="14">
      <c r="A14" s="4" t="n">
        <v>9</v>
      </c>
      <c r="B14" s="5" t="inlineStr">
        <is>
          <t>S56_X3_吸音棉2</t>
        </is>
      </c>
      <c r="C14" s="5" t="inlineStr">
        <is>
          <t>510000000000012330</t>
        </is>
      </c>
      <c r="D14" s="5" t="inlineStr">
        <is>
          <t>凯华(1).dwg</t>
        </is>
      </c>
      <c r="E14" s="6" t="n">
        <v>2</v>
      </c>
      <c r="F14" s="7" t="n">
        <v>100000</v>
      </c>
      <c r="G14" s="5" t="inlineStr">
        <is>
          <t>243×237×20</t>
        </is>
      </c>
      <c r="H14" s="5" t="inlineStr">
        <is>
          <t>PP/PET 吸音棉</t>
        </is>
      </c>
      <c r="I14" s="6" t="n">
        <v>350</v>
      </c>
      <c r="J14" s="8" t="n">
        <v>0.0395</v>
      </c>
      <c r="K14" s="8" t="n">
        <v>0.0138</v>
      </c>
      <c r="L14" s="8" t="n">
        <v>0.0636</v>
      </c>
      <c r="M14" s="8" t="n">
        <v>0.2782</v>
      </c>
      <c r="N14" s="8" t="n">
        <v>0.4322</v>
      </c>
      <c r="O14" s="8" t="n">
        <v>0.5563</v>
      </c>
      <c r="P14" s="9" t="n">
        <v>0.629</v>
      </c>
      <c r="Q14" s="8" t="n">
        <v>0.1241</v>
      </c>
      <c r="R14" s="10" t="n">
        <v>0.223066</v>
      </c>
      <c r="S14" s="7" t="n">
        <v>5000</v>
      </c>
      <c r="T14" s="5" t="inlineStr">
        <is>
          <t>🟢 首单已下</t>
        </is>
      </c>
    </row>
    <row r="15">
      <c r="A15" s="4" t="n">
        <v>10</v>
      </c>
      <c r="B15" s="5" t="inlineStr">
        <is>
          <t>S56_X3_C下吸音棉1</t>
        </is>
      </c>
      <c r="C15" s="5" t="inlineStr">
        <is>
          <t>510000000000012719</t>
        </is>
      </c>
      <c r="D15" s="5" t="inlineStr">
        <is>
          <t>12719.dwg</t>
        </is>
      </c>
      <c r="E15" s="6" t="n">
        <v>2</v>
      </c>
      <c r="F15" s="7" t="n">
        <v>100000</v>
      </c>
      <c r="G15" s="5" t="inlineStr">
        <is>
          <t>260×116×20</t>
        </is>
      </c>
      <c r="H15" s="5" t="inlineStr">
        <is>
          <t>PP/PET 吸音棉</t>
        </is>
      </c>
      <c r="I15" s="6" t="n">
        <v>350</v>
      </c>
      <c r="J15" s="8" t="n">
        <v>0.0255</v>
      </c>
      <c r="K15" s="8" t="n">
        <v>0.0089</v>
      </c>
      <c r="L15" s="8" t="n">
        <v>0.0366</v>
      </c>
      <c r="M15" s="8" t="n">
        <v>0.1601</v>
      </c>
      <c r="N15" s="8" t="n">
        <v>0.2607</v>
      </c>
      <c r="O15" s="8" t="n">
        <v>0.3356</v>
      </c>
      <c r="P15" s="9" t="n">
        <v>0.379</v>
      </c>
      <c r="Q15" s="8" t="n">
        <v>0.07489999999999999</v>
      </c>
      <c r="R15" s="10" t="n">
        <v>0.223066</v>
      </c>
      <c r="S15" s="7" t="n">
        <v>0</v>
      </c>
      <c r="T15" s="5" t="inlineStr">
        <is>
          <t>⚪ 待下单</t>
        </is>
      </c>
    </row>
    <row r="16">
      <c r="A16" s="4" t="n">
        <v>11</v>
      </c>
      <c r="B16" s="5" t="inlineStr">
        <is>
          <t>S56_X3_右下吸音棉2</t>
        </is>
      </c>
      <c r="C16" s="5" t="inlineStr">
        <is>
          <t>510000000000012727</t>
        </is>
      </c>
      <c r="D16" s="5" t="inlineStr">
        <is>
          <t>凯华2(1).dwg</t>
        </is>
      </c>
      <c r="E16" s="6" t="n">
        <v>1</v>
      </c>
      <c r="F16" s="7" t="n">
        <v>50000</v>
      </c>
      <c r="G16" s="5" t="inlineStr">
        <is>
          <t>526×515×20</t>
        </is>
      </c>
      <c r="H16" s="5" t="inlineStr">
        <is>
          <t>PP/PET 吸音棉</t>
        </is>
      </c>
      <c r="I16" s="6" t="n">
        <v>350</v>
      </c>
      <c r="J16" s="8" t="n">
        <v>0.1755</v>
      </c>
      <c r="K16" s="8" t="n">
        <v>0.0614</v>
      </c>
      <c r="L16" s="8" t="n">
        <v>0.2352</v>
      </c>
      <c r="M16" s="8" t="n">
        <v>1.029</v>
      </c>
      <c r="N16" s="8" t="n">
        <v>1.3963</v>
      </c>
      <c r="O16" s="8" t="n">
        <v>1.7972</v>
      </c>
      <c r="P16" s="9" t="n">
        <v>2.031</v>
      </c>
      <c r="Q16" s="8" t="n">
        <v>0.4009</v>
      </c>
      <c r="R16" s="10" t="n">
        <v>0.223066</v>
      </c>
      <c r="S16" s="7" t="n">
        <v>0</v>
      </c>
      <c r="T16" s="5" t="inlineStr">
        <is>
          <t>⚪ 待下单</t>
        </is>
      </c>
    </row>
    <row r="17">
      <c r="A17" s="4" t="n">
        <v>12</v>
      </c>
      <c r="B17" s="5" t="inlineStr">
        <is>
          <t>S56_X3_03T吸音棉1</t>
        </is>
      </c>
      <c r="C17" s="5" t="inlineStr">
        <is>
          <t>510000000000012328</t>
        </is>
      </c>
      <c r="D17" s="5" t="inlineStr">
        <is>
          <t>凯华2(1).dwg</t>
        </is>
      </c>
      <c r="E17" s="6" t="n">
        <v>2</v>
      </c>
      <c r="F17" s="7" t="n">
        <v>100000</v>
      </c>
      <c r="G17" s="5" t="inlineStr">
        <is>
          <t>398×80×20</t>
        </is>
      </c>
      <c r="H17" s="5" t="inlineStr">
        <is>
          <t>PP/PET 吸音棉</t>
        </is>
      </c>
      <c r="I17" s="6" t="n">
        <v>350</v>
      </c>
      <c r="J17" s="8" t="n">
        <v>0.0277</v>
      </c>
      <c r="K17" s="8" t="n">
        <v>0.0097</v>
      </c>
      <c r="L17" s="8" t="n">
        <v>0.0398</v>
      </c>
      <c r="M17" s="8" t="n">
        <v>0.1741</v>
      </c>
      <c r="N17" s="8" t="n">
        <v>0.2759</v>
      </c>
      <c r="O17" s="8" t="n">
        <v>0.3551</v>
      </c>
      <c r="P17" s="9" t="n">
        <v>0.401</v>
      </c>
      <c r="Q17" s="8" t="n">
        <v>0.07920000000000001</v>
      </c>
      <c r="R17" s="10" t="n">
        <v>0.2230659999999999</v>
      </c>
      <c r="S17" s="7" t="n">
        <v>0</v>
      </c>
      <c r="T17" s="5" t="inlineStr">
        <is>
          <t>⚪ 待下单</t>
        </is>
      </c>
    </row>
    <row r="18">
      <c r="A18" s="4" t="n">
        <v>13</v>
      </c>
      <c r="B18" s="5" t="inlineStr">
        <is>
          <t>S56_X3_C上吸音棉3</t>
        </is>
      </c>
      <c r="C18" s="5" t="inlineStr">
        <is>
          <t>510000000000012726</t>
        </is>
      </c>
      <c r="D18" s="5" t="inlineStr">
        <is>
          <t>凯华2(1).dwg</t>
        </is>
      </c>
      <c r="E18" s="6" t="n">
        <v>1</v>
      </c>
      <c r="F18" s="7" t="n">
        <v>50000</v>
      </c>
      <c r="G18" s="5" t="inlineStr">
        <is>
          <t>396×82×20</t>
        </is>
      </c>
      <c r="H18" s="5" t="inlineStr">
        <is>
          <t>PP/PET 吸音棉</t>
        </is>
      </c>
      <c r="I18" s="6" t="n">
        <v>350</v>
      </c>
      <c r="J18" s="8" t="n">
        <v>0.022</v>
      </c>
      <c r="K18" s="8" t="n">
        <v>0.0077</v>
      </c>
      <c r="L18" s="8" t="n">
        <v>0.0312</v>
      </c>
      <c r="M18" s="8" t="n">
        <v>0.1365</v>
      </c>
      <c r="N18" s="8" t="n">
        <v>0.2053</v>
      </c>
      <c r="O18" s="8" t="n">
        <v>0.2643</v>
      </c>
      <c r="P18" s="9" t="n">
        <v>0.299</v>
      </c>
      <c r="Q18" s="8" t="n">
        <v>0.0589</v>
      </c>
      <c r="R18" s="10" t="n">
        <v>0.223066</v>
      </c>
      <c r="S18" s="7" t="n">
        <v>0</v>
      </c>
      <c r="T18" s="5" t="inlineStr">
        <is>
          <t>⚪ 待下单</t>
        </is>
      </c>
    </row>
    <row r="19">
      <c r="A19" s="4" t="n">
        <v>14</v>
      </c>
      <c r="B19" s="5" t="inlineStr">
        <is>
          <t>S56_X3_左下吸音棉2</t>
        </is>
      </c>
      <c r="C19" s="5" t="inlineStr">
        <is>
          <t>510000000000012720</t>
        </is>
      </c>
      <c r="D19" s="5" t="inlineStr">
        <is>
          <t>凯华2(1).dwg</t>
        </is>
      </c>
      <c r="E19" s="6" t="n">
        <v>1</v>
      </c>
      <c r="F19" s="7" t="n">
        <v>50000</v>
      </c>
      <c r="G19" s="5" t="inlineStr">
        <is>
          <t>559×260×20</t>
        </is>
      </c>
      <c r="H19" s="5" t="inlineStr">
        <is>
          <t>PP/PET 吸音棉</t>
        </is>
      </c>
      <c r="I19" s="6" t="n">
        <v>350</v>
      </c>
      <c r="J19" s="8" t="n">
        <v>0.1078</v>
      </c>
      <c r="K19" s="8" t="n">
        <v>0.0377</v>
      </c>
      <c r="L19" s="8" t="n">
        <v>0.1454</v>
      </c>
      <c r="M19" s="8" t="n">
        <v>0.6361</v>
      </c>
      <c r="N19" s="8" t="n">
        <v>0.8779</v>
      </c>
      <c r="O19" s="8" t="n">
        <v>1.13</v>
      </c>
      <c r="P19" s="9" t="n">
        <v>1.277</v>
      </c>
      <c r="Q19" s="8" t="n">
        <v>0.2521</v>
      </c>
      <c r="R19" s="10" t="n">
        <v>0.223066</v>
      </c>
      <c r="S19" s="7" t="n">
        <v>0</v>
      </c>
      <c r="T19" s="5" t="inlineStr">
        <is>
          <t>⚪ 待下单 ⚠️图纸尺寸待确认</t>
        </is>
      </c>
    </row>
    <row r="20">
      <c r="A20" s="19" t="n"/>
      <c r="B20" s="19" t="inlineStr">
        <is>
          <t>合计（13 个生产件 · 单车 16 件）</t>
        </is>
      </c>
      <c r="C20" s="19" t="n"/>
      <c r="D20" s="19" t="n"/>
      <c r="E20" s="19">
        <f>SUM(E6,E7,E8,E9,E10,E11,E13,E14,E15,E16,E17,E18,E19)</f>
        <v/>
      </c>
      <c r="F20" s="20">
        <f>SUM(F6,F7,F8,F9,F10,F11,F13,F14,F15,F16,F17,F18,F19)</f>
        <v/>
      </c>
      <c r="G20" s="19" t="n"/>
      <c r="H20" s="19" t="n"/>
      <c r="I20" s="19" t="n"/>
      <c r="J20" s="21">
        <f>SUM(J6,J7,J8,J9,J10,J11,J13,J14,J15,J16,J17,J18,J19)</f>
        <v/>
      </c>
      <c r="K20" s="21">
        <f>SUM(K6,K7,K8,K9,K10,K11,K13,K14,K15,K16,K17,K18,K19)</f>
        <v/>
      </c>
      <c r="L20" s="21">
        <f>SUMPRODUCT(L6,L7,L8,L9,L10,L11,L13,L14,L15,L16,L17,L18,L19)</f>
        <v/>
      </c>
      <c r="M20" s="21">
        <f>SUM(M6,M7,M8,M9,M10,M11,M13,M14,M15,M16,M17,M18,M19)</f>
        <v/>
      </c>
      <c r="N20" s="19" t="inlineStr">
        <is>
          <t>套成本 13.9319</t>
        </is>
      </c>
      <c r="O20" s="19" t="inlineStr">
        <is>
          <t>套未税 17.9319</t>
        </is>
      </c>
      <c r="P20" s="19" t="inlineStr">
        <is>
          <t>套含税 20.263</t>
        </is>
      </c>
      <c r="Q20" s="19" t="n"/>
      <c r="R20" s="19" t="n"/>
      <c r="S20" s="20">
        <f>SUM(S6,S7,S8,S9,S10,S11,S13,S14,S15,S16,S17,S18,S19)</f>
        <v/>
      </c>
      <c r="T20" s="19" t="n"/>
    </row>
    <row r="22">
      <c r="A22" s="22" t="inlineStr">
        <is>
          <t>① 数据源：定点信息提交表（2026-09-16·件号/名称/单车用量/年产量/EOP）＋ 凯华-S56-奇瑞成本表（2026-09-18·尺寸/材料/单耗/成本）＋ 客户图纸 DWG（实测外形/内孔）＋ 首单 PO4500127228（2026-09-14）。</t>
        </is>
      </c>
    </row>
    <row r="23">
      <c r="A23" s="22" t="inlineStr">
        <is>
          <t>② 报价未税 = 成本未税 ÷ (1 − 22.31%)；22.31% 对应「年净利 20 万」目标（20万 ÷ 5万套 = 套净利 ¥4.00，套成本 ¥13.9319）。改目标毛利率请用《S56报价分析_20260918.xlsx》的报价明细页（B4 格）。</t>
        </is>
      </c>
    </row>
    <row r="24">
      <c r="A24" s="22" t="inlineStr">
        <is>
          <t>③ 首单 PO4500127228：7 行 / 6 个件号 / 合计 12,040 件，含税单价与金额全部为 0.00（未定价）；交期 2026-09-25；收货 芜湖南陵许镇镇工业集中区12号；付款 票到90天。51-13898（1500+620）、51-13899（1500+570）各拆两行下单，送货/对账按件号合并核对。</t>
        </is>
      </c>
    </row>
    <row r="25">
      <c r="A25" s="22" t="inlineStr">
        <is>
          <t>④ 51-12723（S56_X3_B下吸音棉）客户定点表单车用量为「0 不生产」，不计入年量与报价；成本表该行因缺尺寸为占位数字（¥12.9632），已作废。</t>
        </is>
      </c>
    </row>
    <row r="26">
      <c r="A26" s="22" t="inlineStr">
        <is>
          <t>⑤ ⚠️ 51-12720 图纸实测 572.75×275.25 mm，与定点表 559×260 mm 不符（+13.75 / +15.25），待客户确认图纸版本。</t>
        </is>
      </c>
    </row>
    <row r="27">
      <c r="A27" s="22" t="inlineStr">
        <is>
          <t>⑥ 年量 = 单车用量 × 50,000 套/年；单件重量按成品净面积 × 350 g/㎡ 估算（不含排料损耗，含损耗口径见「图纸与排版」页）。</t>
        </is>
      </c>
    </row>
  </sheetData>
  <mergeCells count="6">
    <mergeCell ref="A23:T23"/>
    <mergeCell ref="A27:T27"/>
    <mergeCell ref="A22:T22"/>
    <mergeCell ref="A26:T26"/>
    <mergeCell ref="A25:T25"/>
    <mergeCell ref="A24:T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1" customWidth="1" min="4" max="4"/>
    <col width="11" customWidth="1" min="5" max="5"/>
    <col width="12" customWidth="1" min="6" max="6"/>
    <col width="7" customWidth="1" min="7" max="7"/>
    <col width="12" customWidth="1" min="8" max="8"/>
    <col width="14" customWidth="1" min="9" max="9"/>
    <col width="14" customWidth="1" min="10" max="10"/>
    <col width="18" customWidth="1" min="11" max="11"/>
  </cols>
  <sheetData>
    <row r="1">
      <c r="A1" s="23" t="inlineStr">
        <is>
          <t>首单 PO4500127228（凯华汽车科技(安徽)有限公司 → 常州臻畅汽车配件有限公司）</t>
        </is>
      </c>
    </row>
    <row r="2">
      <c r="A2" s="2" t="inlineStr">
        <is>
          <t>订单日期 2026-09-14 ｜ 付款条件 票到90天收付款 ｜ 币种/税率 元 / 13% ｜ 收货地址 安徽省芜湖市南陵县许镇镇工业集中区12号 ｜ 制单人 朱心蓝 ｜ ⚠️ 原单含税单价/金额全部为 0.00（未定价）</t>
        </is>
      </c>
    </row>
    <row r="4">
      <c r="A4" s="3" t="inlineStr">
        <is>
          <t>PO序号</t>
        </is>
      </c>
      <c r="B4" s="3" t="inlineStr">
        <is>
          <t>物料编码（18位）</t>
        </is>
      </c>
      <c r="C4" s="3" t="inlineStr">
        <is>
          <t>物料名称</t>
        </is>
      </c>
      <c r="D4" s="3" t="inlineStr">
        <is>
          <t>本行数量</t>
        </is>
      </c>
      <c r="E4" s="3" t="inlineStr">
        <is>
          <t>含税单价</t>
        </is>
      </c>
      <c r="F4" s="3" t="inlineStr">
        <is>
          <t>含税金额</t>
        </is>
      </c>
      <c r="G4" s="3" t="inlineStr">
        <is>
          <t>税率</t>
        </is>
      </c>
      <c r="H4" s="3" t="inlineStr">
        <is>
          <t>计划交期</t>
        </is>
      </c>
      <c r="I4" s="3" t="inlineStr">
        <is>
          <t>按报价含税单价</t>
        </is>
      </c>
      <c r="J4" s="3" t="inlineStr">
        <is>
          <t>按报价含税金额</t>
        </is>
      </c>
      <c r="K4" s="3" t="inlineStr">
        <is>
          <t>备注</t>
        </is>
      </c>
    </row>
    <row r="5">
      <c r="A5" s="4" t="inlineStr">
        <is>
          <t>10</t>
        </is>
      </c>
      <c r="B5" s="5" t="inlineStr">
        <is>
          <t>510000000000012330</t>
        </is>
      </c>
      <c r="C5" s="5" t="inlineStr">
        <is>
          <t>S56_X3_吸音棉2</t>
        </is>
      </c>
      <c r="D5" s="7" t="n">
        <v>5000</v>
      </c>
      <c r="E5" s="24" t="n">
        <v>0</v>
      </c>
      <c r="F5" s="24" t="n">
        <v>0</v>
      </c>
      <c r="G5" s="6" t="n">
        <v>13</v>
      </c>
      <c r="H5" s="5" t="inlineStr">
        <is>
          <t>2026-09-25</t>
        </is>
      </c>
      <c r="I5" s="9" t="n">
        <v>0.629</v>
      </c>
      <c r="J5" s="25" t="n">
        <v>3145</v>
      </c>
      <c r="K5" s="5" t="inlineStr"/>
    </row>
    <row r="6">
      <c r="A6" s="4" t="inlineStr">
        <is>
          <t>20</t>
        </is>
      </c>
      <c r="B6" s="5" t="inlineStr">
        <is>
          <t>510000000000013896</t>
        </is>
      </c>
      <c r="C6" s="5" t="inlineStr">
        <is>
          <t>S56_X3L_左C下吸音棉4</t>
        </is>
      </c>
      <c r="D6" s="7" t="n">
        <v>1850</v>
      </c>
      <c r="E6" s="24" t="n">
        <v>0</v>
      </c>
      <c r="F6" s="24" t="n">
        <v>0</v>
      </c>
      <c r="G6" s="6" t="n">
        <v>13</v>
      </c>
      <c r="H6" s="5" t="inlineStr">
        <is>
          <t>2026-09-25</t>
        </is>
      </c>
      <c r="I6" s="9" t="n">
        <v>3.29</v>
      </c>
      <c r="J6" s="25" t="n">
        <v>6086.5</v>
      </c>
      <c r="K6" s="5" t="inlineStr"/>
    </row>
    <row r="7">
      <c r="A7" s="4" t="inlineStr">
        <is>
          <t>30</t>
        </is>
      </c>
      <c r="B7" s="5" t="inlineStr">
        <is>
          <t>510000000000013897</t>
        </is>
      </c>
      <c r="C7" s="5" t="inlineStr">
        <is>
          <t>S56_X3L_左C下吸音棉5</t>
        </is>
      </c>
      <c r="D7" s="7" t="n">
        <v>1000</v>
      </c>
      <c r="E7" s="24" t="n">
        <v>0</v>
      </c>
      <c r="F7" s="24" t="n">
        <v>0</v>
      </c>
      <c r="G7" s="6" t="n">
        <v>13</v>
      </c>
      <c r="H7" s="5" t="inlineStr">
        <is>
          <t>2026-09-25</t>
        </is>
      </c>
      <c r="I7" s="9" t="n">
        <v>2.314</v>
      </c>
      <c r="J7" s="25" t="n">
        <v>2314</v>
      </c>
      <c r="K7" s="5" t="inlineStr"/>
    </row>
    <row r="8">
      <c r="A8" s="4" t="inlineStr">
        <is>
          <t>40</t>
        </is>
      </c>
      <c r="B8" s="5" t="inlineStr">
        <is>
          <t>510000000000013898</t>
        </is>
      </c>
      <c r="C8" s="5" t="inlineStr">
        <is>
          <t>S56_X3L_右C下吸音棉4</t>
        </is>
      </c>
      <c r="D8" s="7" t="n">
        <v>1500</v>
      </c>
      <c r="E8" s="24" t="n">
        <v>0</v>
      </c>
      <c r="F8" s="24" t="n">
        <v>0</v>
      </c>
      <c r="G8" s="6" t="n">
        <v>13</v>
      </c>
      <c r="H8" s="5" t="inlineStr">
        <is>
          <t>2026-09-25</t>
        </is>
      </c>
      <c r="I8" s="9" t="n">
        <v>3.703</v>
      </c>
      <c r="J8" s="25" t="n">
        <v>5554.5</v>
      </c>
      <c r="K8" s="5" t="inlineStr"/>
    </row>
    <row r="9">
      <c r="A9" s="4" t="inlineStr">
        <is>
          <t>50</t>
        </is>
      </c>
      <c r="B9" s="5" t="inlineStr">
        <is>
          <t>510000000000013898</t>
        </is>
      </c>
      <c r="C9" s="5" t="inlineStr">
        <is>
          <t>S56_X3L_右C下吸音棉4</t>
        </is>
      </c>
      <c r="D9" s="7" t="n">
        <v>620</v>
      </c>
      <c r="E9" s="24" t="n">
        <v>0</v>
      </c>
      <c r="F9" s="24" t="n">
        <v>0</v>
      </c>
      <c r="G9" s="6" t="n">
        <v>13</v>
      </c>
      <c r="H9" s="5" t="inlineStr">
        <is>
          <t>2026-09-25</t>
        </is>
      </c>
      <c r="I9" s="9" t="n">
        <v>3.703</v>
      </c>
      <c r="J9" s="25" t="n">
        <v>2295.86</v>
      </c>
      <c r="K9" s="5" t="inlineStr">
        <is>
          <t>拆行下单，送货/对账按件号合并</t>
        </is>
      </c>
    </row>
    <row r="10">
      <c r="A10" s="4" t="inlineStr">
        <is>
          <t>60</t>
        </is>
      </c>
      <c r="B10" s="5" t="inlineStr">
        <is>
          <t>510000000000013899</t>
        </is>
      </c>
      <c r="C10" s="5" t="inlineStr">
        <is>
          <t>S56_X3L_右C下吸音棉5</t>
        </is>
      </c>
      <c r="D10" s="7" t="n">
        <v>1500</v>
      </c>
      <c r="E10" s="24" t="n">
        <v>0</v>
      </c>
      <c r="F10" s="24" t="n">
        <v>0</v>
      </c>
      <c r="G10" s="6" t="n">
        <v>13</v>
      </c>
      <c r="H10" s="5" t="inlineStr">
        <is>
          <t>2026-09-25</t>
        </is>
      </c>
      <c r="I10" s="9" t="n">
        <v>2.175</v>
      </c>
      <c r="J10" s="25" t="n">
        <v>3262.5</v>
      </c>
      <c r="K10" s="5" t="inlineStr"/>
    </row>
    <row r="11">
      <c r="A11" s="4" t="inlineStr">
        <is>
          <t>70</t>
        </is>
      </c>
      <c r="B11" s="5" t="inlineStr">
        <is>
          <t>510000000000013899</t>
        </is>
      </c>
      <c r="C11" s="5" t="inlineStr">
        <is>
          <t>S56_X3L_右C下吸音棉5</t>
        </is>
      </c>
      <c r="D11" s="7" t="n">
        <v>570</v>
      </c>
      <c r="E11" s="24" t="n">
        <v>0</v>
      </c>
      <c r="F11" s="24" t="n">
        <v>0</v>
      </c>
      <c r="G11" s="6" t="n">
        <v>13</v>
      </c>
      <c r="H11" s="5" t="inlineStr">
        <is>
          <t>2026-09-25</t>
        </is>
      </c>
      <c r="I11" s="9" t="n">
        <v>2.175</v>
      </c>
      <c r="J11" s="25" t="n">
        <v>1239.75</v>
      </c>
      <c r="K11" s="5" t="inlineStr">
        <is>
          <t>拆行下单，送货/对账按件号合并</t>
        </is>
      </c>
    </row>
    <row r="12">
      <c r="A12" s="19" t="n"/>
      <c r="B12" s="19" t="n"/>
      <c r="C12" s="19" t="inlineStr">
        <is>
          <t>合计</t>
        </is>
      </c>
      <c r="D12" s="20" t="n">
        <v>12040</v>
      </c>
      <c r="E12" s="19" t="n"/>
      <c r="F12" s="26" t="n">
        <v>0</v>
      </c>
      <c r="G12" s="19" t="n"/>
      <c r="H12" s="19" t="n"/>
      <c r="I12" s="19" t="n"/>
      <c r="J12" s="27" t="n">
        <v>23898.11</v>
      </c>
      <c r="K12" s="19" t="n"/>
    </row>
    <row r="14">
      <c r="A14" t="inlineStr">
        <is>
          <t>按 22.31% 报价口径：首单含税合计 ¥23,898.11（未税 ¥21,148.77）</t>
        </is>
      </c>
    </row>
    <row r="15">
      <c r="A15" t="inlineStr">
        <is>
          <t>⚠️ 原单要求「3 小时内签名盖章回传」；交期 2026-09-25，剩 7 天，需先定价才能送货对账。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5" customWidth="1" min="4" max="4"/>
    <col width="20" customWidth="1" min="5" max="5"/>
    <col width="11" customWidth="1" min="6" max="6"/>
    <col width="8" customWidth="1" min="7" max="7"/>
    <col width="10" customWidth="1" min="8" max="8"/>
    <col width="11" customWidth="1" min="9" max="9"/>
    <col width="10" customWidth="1" min="10" max="10"/>
    <col width="10" customWidth="1" min="11" max="11"/>
    <col width="16" customWidth="1" min="12" max="12"/>
    <col width="14" customWidth="1" min="13" max="13"/>
    <col width="14" customWidth="1" min="14" max="14"/>
    <col width="9" customWidth="1" min="15" max="15"/>
  </cols>
  <sheetData>
    <row r="1">
      <c r="A1" s="28" t="inlineStr">
        <is>
          <t>S56 图纸实测外形 + 刀模排版（幅宽 1200mm × 排料长 1820 mm，16 件/套，套单耗 2.1834 ㎡，利用率 65.8%）</t>
        </is>
      </c>
    </row>
    <row r="3">
      <c r="A3" s="3" t="inlineStr">
        <is>
          <t>序号</t>
        </is>
      </c>
      <c r="B3" s="3" t="inlineStr">
        <is>
          <t>零件名称（官方）</t>
        </is>
      </c>
      <c r="C3" s="3" t="inlineStr">
        <is>
          <t>物料号（18位）</t>
        </is>
      </c>
      <c r="D3" s="3" t="inlineStr">
        <is>
          <t>图纸文件</t>
        </is>
      </c>
      <c r="E3" s="3" t="inlineStr">
        <is>
          <t>图纸实测 长×宽(mm)</t>
        </is>
      </c>
      <c r="F3" s="3" t="inlineStr">
        <is>
          <t>净面积(㎡)</t>
        </is>
      </c>
      <c r="G3" s="3" t="inlineStr">
        <is>
          <t>内孔数</t>
        </is>
      </c>
      <c r="H3" s="3" t="inlineStr">
        <is>
          <t>轮廓点数</t>
        </is>
      </c>
      <c r="I3" s="3" t="inlineStr">
        <is>
          <t>排版旋转角</t>
        </is>
      </c>
      <c r="J3" s="3" t="inlineStr">
        <is>
          <t>排版左X</t>
        </is>
      </c>
      <c r="K3" s="3" t="inlineStr">
        <is>
          <t>排版下Y</t>
        </is>
      </c>
      <c r="L3" s="3" t="inlineStr">
        <is>
          <t>排版外形 W×H(mm)</t>
        </is>
      </c>
      <c r="M3" s="3" t="inlineStr">
        <is>
          <t>独立排单耗(㎡/件)</t>
        </is>
      </c>
      <c r="N3" s="3" t="inlineStr">
        <is>
          <t>成本表单耗(㎡/件)</t>
        </is>
      </c>
      <c r="O3" s="3" t="inlineStr">
        <is>
          <t>差%</t>
        </is>
      </c>
    </row>
    <row r="4">
      <c r="A4" s="4" t="inlineStr">
        <is>
          <t>1</t>
        </is>
      </c>
      <c r="B4" s="5" t="inlineStr">
        <is>
          <t>S56_X3L_右C下吸音棉4</t>
        </is>
      </c>
      <c r="C4" s="5" t="inlineStr">
        <is>
          <t>510000000000013898</t>
        </is>
      </c>
      <c r="D4" s="5" t="inlineStr">
        <is>
          <t>凯华(1).dwg</t>
        </is>
      </c>
      <c r="E4" s="5" t="inlineStr">
        <is>
          <t>788.00 × 600.25</t>
        </is>
      </c>
      <c r="F4" s="8" t="n">
        <v>0.2147</v>
      </c>
      <c r="G4" s="6" t="n">
        <v>1</v>
      </c>
      <c r="H4" s="6" t="n">
        <v>943</v>
      </c>
      <c r="I4" s="4" t="inlineStr">
        <is>
          <t>0°</t>
        </is>
      </c>
      <c r="J4" s="29" t="n">
        <v>0</v>
      </c>
      <c r="K4" s="29" t="n">
        <v>0</v>
      </c>
      <c r="L4" s="5" t="inlineStr">
        <is>
          <t>788 × 600.2</t>
        </is>
      </c>
      <c r="M4" s="8" t="n">
        <v>0.7239</v>
      </c>
      <c r="N4" s="8" t="n">
        <v>0.4177</v>
      </c>
      <c r="O4" s="30" t="n">
        <v>0.733062006224563</v>
      </c>
    </row>
    <row r="5">
      <c r="A5" s="4" t="inlineStr">
        <is>
          <t>2</t>
        </is>
      </c>
      <c r="B5" s="5" t="inlineStr">
        <is>
          <t>S56_X3_C上吸音棉1</t>
        </is>
      </c>
      <c r="C5" s="5" t="inlineStr">
        <is>
          <t>510000000000012724</t>
        </is>
      </c>
      <c r="D5" s="5" t="inlineStr">
        <is>
          <t>凯华2(1).dwg</t>
        </is>
      </c>
      <c r="E5" s="5" t="inlineStr">
        <is>
          <t>237.00 × 86.00</t>
        </is>
      </c>
      <c r="F5" s="8" t="n">
        <v>0.0204</v>
      </c>
      <c r="G5" s="6" t="n">
        <v>0</v>
      </c>
      <c r="H5" s="6" t="n">
        <v>5</v>
      </c>
      <c r="I5" s="4" t="inlineStr">
        <is>
          <t>0°</t>
        </is>
      </c>
      <c r="J5" s="29" t="n">
        <v>496.5</v>
      </c>
      <c r="K5" s="29" t="n">
        <v>183</v>
      </c>
      <c r="L5" s="5" t="inlineStr">
        <is>
          <t>237 × 86</t>
        </is>
      </c>
      <c r="M5" s="8" t="n">
        <v>0.0222</v>
      </c>
      <c r="N5" s="8" t="n">
        <v>0.028</v>
      </c>
      <c r="O5" s="30" t="n">
        <v>-0.2071428571428571</v>
      </c>
    </row>
    <row r="6">
      <c r="A6" s="4" t="inlineStr">
        <is>
          <t>3</t>
        </is>
      </c>
      <c r="B6" s="5" t="inlineStr">
        <is>
          <t>S56_X3_C上吸音棉2</t>
        </is>
      </c>
      <c r="C6" s="5" t="inlineStr">
        <is>
          <t>510000000000012725</t>
        </is>
      </c>
      <c r="D6" s="5" t="inlineStr">
        <is>
          <t>凯华2(1).dwg</t>
        </is>
      </c>
      <c r="E6" s="5" t="inlineStr">
        <is>
          <t>489.00 × 86.00</t>
        </is>
      </c>
      <c r="F6" s="8" t="n">
        <v>0.0369</v>
      </c>
      <c r="G6" s="6" t="n">
        <v>0</v>
      </c>
      <c r="H6" s="6" t="n">
        <v>13</v>
      </c>
      <c r="I6" s="4" t="inlineStr">
        <is>
          <t>90°</t>
        </is>
      </c>
      <c r="J6" s="29" t="n">
        <v>0</v>
      </c>
      <c r="K6" s="29" t="n">
        <v>1261.5</v>
      </c>
      <c r="L6" s="5" t="inlineStr">
        <is>
          <t>86 × 489</t>
        </is>
      </c>
      <c r="M6" s="8" t="n">
        <v>0.0454</v>
      </c>
      <c r="N6" s="8" t="n">
        <v>0.054</v>
      </c>
      <c r="O6" s="30" t="n">
        <v>-0.1592592592592592</v>
      </c>
    </row>
    <row r="7">
      <c r="A7" s="4" t="inlineStr">
        <is>
          <t>4</t>
        </is>
      </c>
      <c r="B7" s="5" t="inlineStr">
        <is>
          <t>S56_X3_左下吸音棉3</t>
        </is>
      </c>
      <c r="C7" s="5" t="inlineStr">
        <is>
          <t>510000000000012721</t>
        </is>
      </c>
      <c r="D7" s="5" t="inlineStr">
        <is>
          <t>凯华2(1).dwg</t>
        </is>
      </c>
      <c r="E7" s="5" t="inlineStr">
        <is>
          <t>744.50 × 284.50</t>
        </is>
      </c>
      <c r="F7" s="8" t="n">
        <v>0.07779999999999999</v>
      </c>
      <c r="G7" s="6" t="n">
        <v>1</v>
      </c>
      <c r="H7" s="6" t="n">
        <v>132</v>
      </c>
      <c r="I7" s="4" t="inlineStr">
        <is>
          <t>180°</t>
        </is>
      </c>
      <c r="J7" s="29" t="n">
        <v>300</v>
      </c>
      <c r="K7" s="29" t="n">
        <v>1479</v>
      </c>
      <c r="L7" s="5" t="inlineStr">
        <is>
          <t>744.5 × 284.5</t>
        </is>
      </c>
      <c r="M7" s="8" t="n">
        <v>0.2243</v>
      </c>
      <c r="N7" s="8" t="n">
        <v>0.1645</v>
      </c>
      <c r="O7" s="30" t="n">
        <v>0.3635258358662614</v>
      </c>
    </row>
    <row r="8">
      <c r="A8" s="4" t="inlineStr">
        <is>
          <t>5</t>
        </is>
      </c>
      <c r="B8" s="5" t="inlineStr">
        <is>
          <t>S56_X3L_左C下吸音棉5</t>
        </is>
      </c>
      <c r="C8" s="5" t="inlineStr">
        <is>
          <t>510000000000013897</t>
        </is>
      </c>
      <c r="D8" s="5" t="inlineStr">
        <is>
          <t>凯华(1).dwg</t>
        </is>
      </c>
      <c r="E8" s="5" t="inlineStr">
        <is>
          <t>965.00 × 384.50</t>
        </is>
      </c>
      <c r="F8" s="8" t="n">
        <v>0.157</v>
      </c>
      <c r="G8" s="6" t="n">
        <v>1</v>
      </c>
      <c r="H8" s="6" t="n">
        <v>407</v>
      </c>
      <c r="I8" s="4" t="inlineStr">
        <is>
          <t>180°</t>
        </is>
      </c>
      <c r="J8" s="29" t="n">
        <v>0</v>
      </c>
      <c r="K8" s="29" t="n">
        <v>942</v>
      </c>
      <c r="L8" s="5" t="inlineStr">
        <is>
          <t>965 × 384.5</t>
        </is>
      </c>
      <c r="M8" s="8" t="n">
        <v>0.3872</v>
      </c>
      <c r="N8" s="8" t="n">
        <v>0.238</v>
      </c>
      <c r="O8" s="30" t="n">
        <v>0.626890756302521</v>
      </c>
    </row>
    <row r="9">
      <c r="A9" s="4" t="inlineStr">
        <is>
          <t>6</t>
        </is>
      </c>
      <c r="B9" s="5" t="inlineStr">
        <is>
          <t>S56_X3L_右C下吸音棉5</t>
        </is>
      </c>
      <c r="C9" s="5" t="inlineStr">
        <is>
          <t>510000000000013899</t>
        </is>
      </c>
      <c r="D9" s="5" t="inlineStr">
        <is>
          <t>凯华(1).dwg</t>
        </is>
      </c>
      <c r="E9" s="5" t="inlineStr">
        <is>
          <t>965.50 × 344.50</t>
        </is>
      </c>
      <c r="F9" s="8" t="n">
        <v>0.1379</v>
      </c>
      <c r="G9" s="6" t="n">
        <v>1</v>
      </c>
      <c r="H9" s="6" t="n">
        <v>493</v>
      </c>
      <c r="I9" s="4" t="inlineStr">
        <is>
          <t>0°</t>
        </is>
      </c>
      <c r="J9" s="29" t="n">
        <v>156</v>
      </c>
      <c r="K9" s="29" t="n">
        <v>1266</v>
      </c>
      <c r="L9" s="5" t="inlineStr">
        <is>
          <t>965.5 × 344.5</t>
        </is>
      </c>
      <c r="M9" s="8" t="n">
        <v>0.3874</v>
      </c>
      <c r="N9" s="8" t="n">
        <v>0.2178</v>
      </c>
      <c r="O9" s="30" t="n">
        <v>0.7786960514233243</v>
      </c>
    </row>
    <row r="10">
      <c r="A10" s="11" t="inlineStr">
        <is>
          <t>7</t>
        </is>
      </c>
      <c r="B10" s="12" t="inlineStr">
        <is>
          <t>S56_X3_B下吸音棉</t>
        </is>
      </c>
      <c r="C10" s="12" t="inlineStr">
        <is>
          <t>510000000000012723</t>
        </is>
      </c>
      <c r="D10" s="12" t="inlineStr">
        <is>
          <t>凯华2(1).dwg</t>
        </is>
      </c>
      <c r="E10" s="12" t="inlineStr">
        <is>
          <t>570.50 × 220.50</t>
        </is>
      </c>
      <c r="F10" s="15" t="n">
        <v>0.0822</v>
      </c>
      <c r="G10" s="13" t="n">
        <v>0</v>
      </c>
      <c r="H10" s="13" t="n">
        <v>626</v>
      </c>
      <c r="I10" s="11" t="inlineStr">
        <is>
          <t>—</t>
        </is>
      </c>
      <c r="J10" s="31" t="inlineStr"/>
      <c r="K10" s="31" t="inlineStr"/>
      <c r="L10" s="12" t="inlineStr">
        <is>
          <t>—</t>
        </is>
      </c>
      <c r="M10" s="16" t="inlineStr"/>
      <c r="N10" s="15" t="n">
        <v>2.0375</v>
      </c>
      <c r="O10" s="32" t="inlineStr"/>
    </row>
    <row r="11">
      <c r="A11" s="4" t="inlineStr">
        <is>
          <t>8</t>
        </is>
      </c>
      <c r="B11" s="5" t="inlineStr">
        <is>
          <t>S56_X3L_左C下吸音棉4</t>
        </is>
      </c>
      <c r="C11" s="5" t="inlineStr">
        <is>
          <t>510000000000013896</t>
        </is>
      </c>
      <c r="D11" s="5" t="inlineStr">
        <is>
          <t>凯华(1).dwg</t>
        </is>
      </c>
      <c r="E11" s="5" t="inlineStr">
        <is>
          <t>729.00 × 500.50</t>
        </is>
      </c>
      <c r="F11" s="8" t="n">
        <v>0.2136</v>
      </c>
      <c r="G11" s="6" t="n">
        <v>1</v>
      </c>
      <c r="H11" s="6" t="n">
        <v>1052</v>
      </c>
      <c r="I11" s="4" t="inlineStr">
        <is>
          <t>180°</t>
        </is>
      </c>
      <c r="J11" s="29" t="n">
        <v>471</v>
      </c>
      <c r="K11" s="29" t="n">
        <v>250.5</v>
      </c>
      <c r="L11" s="5" t="inlineStr">
        <is>
          <t>729 × 500.5</t>
        </is>
      </c>
      <c r="M11" s="8" t="n">
        <v>0.4392</v>
      </c>
      <c r="N11" s="8" t="n">
        <v>0.3657</v>
      </c>
      <c r="O11" s="30" t="n">
        <v>0.2009844134536504</v>
      </c>
    </row>
    <row r="12">
      <c r="A12" s="4" t="inlineStr">
        <is>
          <t>9.1</t>
        </is>
      </c>
      <c r="B12" s="5" t="inlineStr">
        <is>
          <t>S56_X3_吸音棉2</t>
        </is>
      </c>
      <c r="C12" s="5" t="inlineStr">
        <is>
          <t>510000000000012330</t>
        </is>
      </c>
      <c r="D12" s="5" t="inlineStr">
        <is>
          <t>凯华(1).dwg</t>
        </is>
      </c>
      <c r="E12" s="5" t="inlineStr">
        <is>
          <t>242.00 × 236.50</t>
        </is>
      </c>
      <c r="F12" s="8" t="n">
        <v>0.0395</v>
      </c>
      <c r="G12" s="6" t="n">
        <v>0</v>
      </c>
      <c r="H12" s="6" t="n">
        <v>415</v>
      </c>
      <c r="I12" s="4" t="inlineStr">
        <is>
          <t>0°</t>
        </is>
      </c>
      <c r="J12" s="29" t="n">
        <v>793.5</v>
      </c>
      <c r="K12" s="29" t="n">
        <v>0</v>
      </c>
      <c r="L12" s="5" t="inlineStr">
        <is>
          <t>242 × 236.5</t>
        </is>
      </c>
      <c r="M12" s="8" t="n">
        <v>0.0718</v>
      </c>
      <c r="N12" s="8" t="n">
        <v>0.0636</v>
      </c>
      <c r="O12" s="30" t="n">
        <v>0.1289308176100629</v>
      </c>
    </row>
    <row r="13">
      <c r="A13" s="4" t="inlineStr">
        <is>
          <t>9.2</t>
        </is>
      </c>
      <c r="B13" s="5" t="inlineStr">
        <is>
          <t>S56_X3_吸音棉2</t>
        </is>
      </c>
      <c r="C13" s="5" t="inlineStr">
        <is>
          <t>510000000000012330</t>
        </is>
      </c>
      <c r="D13" s="5" t="inlineStr">
        <is>
          <t>凯华(1).dwg</t>
        </is>
      </c>
      <c r="E13" s="5" t="inlineStr">
        <is>
          <t>242.00 × 236.50</t>
        </is>
      </c>
      <c r="F13" s="8" t="n">
        <v>0.0395</v>
      </c>
      <c r="G13" s="6" t="n">
        <v>0</v>
      </c>
      <c r="H13" s="6" t="n">
        <v>415</v>
      </c>
      <c r="I13" s="4" t="inlineStr">
        <is>
          <t>0°</t>
        </is>
      </c>
      <c r="J13" s="29" t="n">
        <v>948</v>
      </c>
      <c r="K13" s="29" t="n">
        <v>1017</v>
      </c>
      <c r="L13" s="5" t="inlineStr">
        <is>
          <t>242 × 236.5</t>
        </is>
      </c>
      <c r="M13" s="33" t="inlineStr"/>
      <c r="N13" s="8" t="n">
        <v>0.0636</v>
      </c>
      <c r="O13" s="30" t="n">
        <v>0.1289308176100629</v>
      </c>
    </row>
    <row r="14">
      <c r="A14" s="4" t="inlineStr">
        <is>
          <t>10.1</t>
        </is>
      </c>
      <c r="B14" s="5" t="inlineStr">
        <is>
          <t>S56_X3_C下吸音棉1</t>
        </is>
      </c>
      <c r="C14" s="5" t="inlineStr">
        <is>
          <t>510000000000012719</t>
        </is>
      </c>
      <c r="D14" s="5" t="inlineStr">
        <is>
          <t>12719.dwg</t>
        </is>
      </c>
      <c r="E14" s="5" t="inlineStr">
        <is>
          <t>257.25 × 113.25</t>
        </is>
      </c>
      <c r="F14" s="8" t="n">
        <v>0.0255</v>
      </c>
      <c r="G14" s="6" t="n">
        <v>0</v>
      </c>
      <c r="H14" s="6" t="n">
        <v>134</v>
      </c>
      <c r="I14" s="4" t="inlineStr">
        <is>
          <t>270°</t>
        </is>
      </c>
      <c r="J14" s="29" t="n">
        <v>1057.5</v>
      </c>
      <c r="K14" s="29" t="n">
        <v>0</v>
      </c>
      <c r="L14" s="5" t="inlineStr">
        <is>
          <t>113.2 × 257.2</t>
        </is>
      </c>
      <c r="M14" s="8" t="n">
        <v>0.0312</v>
      </c>
      <c r="N14" s="8" t="n">
        <v>0.0366</v>
      </c>
      <c r="O14" s="30" t="n">
        <v>-0.1475409836065574</v>
      </c>
    </row>
    <row r="15">
      <c r="A15" s="4" t="inlineStr">
        <is>
          <t>10.2</t>
        </is>
      </c>
      <c r="B15" s="5" t="inlineStr">
        <is>
          <t>S56_X3_C下吸音棉1</t>
        </is>
      </c>
      <c r="C15" s="5" t="inlineStr">
        <is>
          <t>510000000000012719</t>
        </is>
      </c>
      <c r="D15" s="5" t="inlineStr">
        <is>
          <t>12719.dwg</t>
        </is>
      </c>
      <c r="E15" s="5" t="inlineStr">
        <is>
          <t>257.25 × 113.25</t>
        </is>
      </c>
      <c r="F15" s="8" t="n">
        <v>0.0255</v>
      </c>
      <c r="G15" s="6" t="n">
        <v>0</v>
      </c>
      <c r="H15" s="6" t="n">
        <v>134</v>
      </c>
      <c r="I15" s="4" t="inlineStr">
        <is>
          <t>270°</t>
        </is>
      </c>
      <c r="J15" s="29" t="n">
        <v>178.5</v>
      </c>
      <c r="K15" s="29" t="n">
        <v>1491</v>
      </c>
      <c r="L15" s="5" t="inlineStr">
        <is>
          <t>113.2 × 257.2</t>
        </is>
      </c>
      <c r="M15" s="33" t="inlineStr"/>
      <c r="N15" s="8" t="n">
        <v>0.0366</v>
      </c>
      <c r="O15" s="30" t="n">
        <v>-0.1475409836065574</v>
      </c>
    </row>
    <row r="16">
      <c r="A16" s="4" t="inlineStr">
        <is>
          <t>11</t>
        </is>
      </c>
      <c r="B16" s="5" t="inlineStr">
        <is>
          <t>S56_X3_右下吸音棉2</t>
        </is>
      </c>
      <c r="C16" s="5" t="inlineStr">
        <is>
          <t>510000000000012727</t>
        </is>
      </c>
      <c r="D16" s="5" t="inlineStr">
        <is>
          <t>凯华2(1).dwg</t>
        </is>
      </c>
      <c r="E16" s="5" t="inlineStr">
        <is>
          <t>525.00 × 513.00</t>
        </is>
      </c>
      <c r="F16" s="8" t="n">
        <v>0.1755</v>
      </c>
      <c r="G16" s="6" t="n">
        <v>1</v>
      </c>
      <c r="H16" s="6" t="n">
        <v>163</v>
      </c>
      <c r="I16" s="4" t="inlineStr">
        <is>
          <t>90°</t>
        </is>
      </c>
      <c r="J16" s="29" t="n">
        <v>0</v>
      </c>
      <c r="K16" s="29" t="n">
        <v>594</v>
      </c>
      <c r="L16" s="5" t="inlineStr">
        <is>
          <t>513 × 525</t>
        </is>
      </c>
      <c r="M16" s="8" t="n">
        <v>0.3096</v>
      </c>
      <c r="N16" s="8" t="n">
        <v>0.2352</v>
      </c>
      <c r="O16" s="30" t="n">
        <v>0.3163265306122449</v>
      </c>
    </row>
    <row r="17">
      <c r="A17" s="4" t="inlineStr">
        <is>
          <t>12.1</t>
        </is>
      </c>
      <c r="B17" s="5" t="inlineStr">
        <is>
          <t>S56_X3_03T吸音棉1</t>
        </is>
      </c>
      <c r="C17" s="5" t="inlineStr">
        <is>
          <t>510000000000012328</t>
        </is>
      </c>
      <c r="D17" s="5" t="inlineStr">
        <is>
          <t>凯华2(1).dwg</t>
        </is>
      </c>
      <c r="E17" s="5" t="inlineStr">
        <is>
          <t>397.25 × 80.00</t>
        </is>
      </c>
      <c r="F17" s="8" t="n">
        <v>0.0277</v>
      </c>
      <c r="G17" s="6" t="n">
        <v>2</v>
      </c>
      <c r="H17" s="6" t="n">
        <v>30</v>
      </c>
      <c r="I17" s="4" t="inlineStr">
        <is>
          <t>180°</t>
        </is>
      </c>
      <c r="J17" s="29" t="n">
        <v>153</v>
      </c>
      <c r="K17" s="29" t="n">
        <v>330</v>
      </c>
      <c r="L17" s="5" t="inlineStr">
        <is>
          <t>397.2 × 80</t>
        </is>
      </c>
      <c r="M17" s="8" t="n">
        <v>0.0343</v>
      </c>
      <c r="N17" s="8" t="n">
        <v>0.0398</v>
      </c>
      <c r="O17" s="30" t="n">
        <v>-0.1381909547738695</v>
      </c>
    </row>
    <row r="18">
      <c r="A18" s="4" t="inlineStr">
        <is>
          <t>12.2</t>
        </is>
      </c>
      <c r="B18" s="5" t="inlineStr">
        <is>
          <t>S56_X3_03T吸音棉1</t>
        </is>
      </c>
      <c r="C18" s="5" t="inlineStr">
        <is>
          <t>510000000000012328</t>
        </is>
      </c>
      <c r="D18" s="5" t="inlineStr">
        <is>
          <t>凯华2(1).dwg</t>
        </is>
      </c>
      <c r="E18" s="5" t="inlineStr">
        <is>
          <t>397.25 × 80.00</t>
        </is>
      </c>
      <c r="F18" s="8" t="n">
        <v>0.0277</v>
      </c>
      <c r="G18" s="6" t="n">
        <v>2</v>
      </c>
      <c r="H18" s="6" t="n">
        <v>30</v>
      </c>
      <c r="I18" s="4" t="inlineStr">
        <is>
          <t>90°</t>
        </is>
      </c>
      <c r="J18" s="29" t="n">
        <v>1119</v>
      </c>
      <c r="K18" s="29" t="n">
        <v>1330.5</v>
      </c>
      <c r="L18" s="5" t="inlineStr">
        <is>
          <t>80 × 397.2</t>
        </is>
      </c>
      <c r="M18" s="33" t="inlineStr"/>
      <c r="N18" s="8" t="n">
        <v>0.0398</v>
      </c>
      <c r="O18" s="30" t="n">
        <v>-0.1381909547738695</v>
      </c>
    </row>
    <row r="19">
      <c r="A19" s="4" t="inlineStr">
        <is>
          <t>13</t>
        </is>
      </c>
      <c r="B19" s="5" t="inlineStr">
        <is>
          <t>S56_X3_C上吸音棉3</t>
        </is>
      </c>
      <c r="C19" s="5" t="inlineStr">
        <is>
          <t>510000000000012726</t>
        </is>
      </c>
      <c r="D19" s="5" t="inlineStr">
        <is>
          <t>凯华2(1).dwg</t>
        </is>
      </c>
      <c r="E19" s="5" t="inlineStr">
        <is>
          <t>395.00 × 82.00</t>
        </is>
      </c>
      <c r="F19" s="8" t="n">
        <v>0.022</v>
      </c>
      <c r="G19" s="6" t="n">
        <v>0</v>
      </c>
      <c r="H19" s="6" t="n">
        <v>11</v>
      </c>
      <c r="I19" s="4" t="inlineStr">
        <is>
          <t>0°</t>
        </is>
      </c>
      <c r="J19" s="29" t="n">
        <v>751.5</v>
      </c>
      <c r="K19" s="29" t="n">
        <v>1729.5</v>
      </c>
      <c r="L19" s="5" t="inlineStr">
        <is>
          <t>395 × 82</t>
        </is>
      </c>
      <c r="M19" s="8" t="n">
        <v>0.034</v>
      </c>
      <c r="N19" s="8" t="n">
        <v>0.0312</v>
      </c>
      <c r="O19" s="30" t="n">
        <v>0.08974358974358987</v>
      </c>
    </row>
    <row r="20">
      <c r="A20" s="4" t="inlineStr">
        <is>
          <t>14</t>
        </is>
      </c>
      <c r="B20" s="5" t="inlineStr">
        <is>
          <t>S56_X3_左下吸音棉2</t>
        </is>
      </c>
      <c r="C20" s="5" t="inlineStr">
        <is>
          <t>510000000000012720</t>
        </is>
      </c>
      <c r="D20" s="5" t="inlineStr">
        <is>
          <t>凯华2(1).dwg</t>
        </is>
      </c>
      <c r="E20" s="5" t="inlineStr">
        <is>
          <t>572.75 × 275.25</t>
        </is>
      </c>
      <c r="F20" s="8" t="n">
        <v>0.1078</v>
      </c>
      <c r="G20" s="6" t="n">
        <v>1</v>
      </c>
      <c r="H20" s="6" t="n">
        <v>34</v>
      </c>
      <c r="I20" s="4" t="inlineStr">
        <is>
          <t>180°</t>
        </is>
      </c>
      <c r="J20" s="29" t="n">
        <v>625.5</v>
      </c>
      <c r="K20" s="29" t="n">
        <v>750</v>
      </c>
      <c r="L20" s="5" t="inlineStr">
        <is>
          <t>572.8 × 275.2</t>
        </is>
      </c>
      <c r="M20" s="8" t="n">
        <v>0.1669</v>
      </c>
      <c r="N20" s="8" t="n">
        <v>0.1454</v>
      </c>
      <c r="O20" s="30" t="n">
        <v>0.1478679504814305</v>
      </c>
    </row>
    <row r="22">
      <c r="A22" t="inlineStr">
        <is>
          <t>排版口径：一套 16 件共排（51-12330 / 51-12328 / 51-12719 各 2 件），刀缝按保守 5.75mm；幅宽对比 1200mm 65.8% &gt; 1420mm 64.7% &gt; 1600mm 63.1%；单件独立排套单耗 3.0147 ㎡（+38.4%，不推荐）。</t>
        </is>
      </c>
    </row>
    <row r="23">
      <c r="A23" t="inlineStr">
        <is>
          <t>「独立排单耗」= 该件单独一排/一张刀模时的单耗（含边条废料）；共排时各件共享幅宽，故不逐件摊分，套口径见上方标题。</t>
        </is>
      </c>
    </row>
  </sheetData>
  <mergeCells count="1">
    <mergeCell ref="A22:O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2026-09-18T05:52:38Z</dcterms:created>
  <dcterms:modified xmlns:dcterms="http://purl.org/dc/terms/" xmlns:xsi="http://www.w3.org/2001/XMLSchema-instance" xsi:type="dcterms:W3CDTF">2026-09-18T05:52:38Z</dcterms:modified>
</cp:coreProperties>
</file>
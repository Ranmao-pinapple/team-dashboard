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单明细" sheetId="1" state="visible" r:id="rId1"/>
    <sheet xmlns:r="http://schemas.openxmlformats.org/officeDocument/2006/relationships" name="按料号汇总" sheetId="2" state="visible" r:id="rId2"/>
    <sheet xmlns:r="http://schemas.openxmlformats.org/officeDocument/2006/relationships" name="S56_X3件库14件" sheetId="3" state="visible" r:id="rId3"/>
    <sheet xmlns:r="http://schemas.openxmlformats.org/officeDocument/2006/relationships" name="风险与行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微软雅黑"/>
      <b val="1"/>
      <color rgb="00E82127"/>
      <sz val="13"/>
    </font>
    <font>
      <name val="微软雅黑"/>
      <b val="1"/>
      <sz val="10"/>
    </font>
    <font>
      <name val="微软雅黑"/>
      <sz val="10"/>
    </font>
    <font>
      <name val="微软雅黑"/>
      <b val="1"/>
      <color rgb="00FFFFFF"/>
      <sz val="10"/>
    </font>
    <font>
      <name val="Consolas"/>
      <sz val="10"/>
    </font>
    <font>
      <name val="微软雅黑"/>
      <b val="1"/>
      <color rgb="00E82127"/>
      <sz val="10"/>
    </font>
    <font>
      <name val="微软雅黑"/>
      <color rgb="005C5E62"/>
      <sz val="9"/>
    </font>
    <font>
      <name val="微软雅黑"/>
      <b val="1"/>
      <color rgb="0012A150"/>
      <sz val="10"/>
    </font>
  </fonts>
  <fills count="3">
    <fill>
      <patternFill/>
    </fill>
    <fill>
      <patternFill patternType="gray125"/>
    </fill>
    <fill>
      <patternFill patternType="solid">
        <fgColor rgb="00E82127"/>
      </patternFill>
    </fill>
  </fills>
  <borders count="2">
    <border>
      <left/>
      <right/>
      <top/>
      <bottom/>
      <diagonal/>
    </border>
    <border>
      <left style="thin">
        <color rgb="00D9D9DB"/>
      </left>
      <right style="thin">
        <color rgb="00D9D9DB"/>
      </right>
      <top style="thin">
        <color rgb="00D9D9DB"/>
      </top>
      <bottom style="thin">
        <color rgb="00D9D9DB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49" fontId="5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 wrapText="1"/>
    </xf>
    <xf numFmtId="2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0" fillId="0" borderId="1" pivotButton="0" quotePrefix="0" xfId="0"/>
    <xf numFmtId="0" fontId="2" fillId="0" borderId="1" pivotButton="0" quotePrefix="0" xfId="0"/>
    <xf numFmtId="2" fontId="2" fillId="0" borderId="1" pivotButton="0" quotePrefix="0" xfId="0"/>
    <xf numFmtId="0" fontId="6" fillId="0" borderId="1" pivotButton="0" quotePrefix="0" xfId="0"/>
    <xf numFmtId="0" fontId="6" fillId="0" borderId="0" pivotButton="0" quotePrefix="0" xfId="0"/>
    <xf numFmtId="164" fontId="3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pivotButton="0" quotePrefix="0" xfId="0"/>
    <xf numFmtId="0" fontId="7" fillId="0" borderId="0" pivotButton="0" quotePrefix="0" xfId="0"/>
    <xf numFmtId="0" fontId="8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1" customWidth="1" min="3" max="3"/>
    <col width="26" customWidth="1" min="4" max="4"/>
    <col width="10" customWidth="1" min="5" max="5"/>
    <col width="10" customWidth="1" min="6" max="6"/>
    <col width="11" customWidth="1" min="7" max="7"/>
    <col width="7" customWidth="1" min="8" max="8"/>
    <col width="12" customWidth="1" min="9" max="9"/>
    <col width="34" customWidth="1" min="10" max="10"/>
  </cols>
  <sheetData>
    <row r="1" ht="22" customHeight="1">
      <c r="A1" s="1" t="inlineStr">
        <is>
          <t>凯华汽车科技（安徽）有限公司 采购订单 4500127228（原单转写）</t>
        </is>
      </c>
    </row>
    <row r="2">
      <c r="A2" s="2" t="inlineStr">
        <is>
          <t>订单日期</t>
        </is>
      </c>
      <c r="B2" s="3" t="inlineStr">
        <is>
          <t>2026-09-14</t>
        </is>
      </c>
      <c r="E2" s="2" t="inlineStr">
        <is>
          <t>订单编号</t>
        </is>
      </c>
      <c r="F2" s="3" t="inlineStr">
        <is>
          <t>4500127228</t>
        </is>
      </c>
    </row>
    <row r="3">
      <c r="A3" s="2" t="inlineStr">
        <is>
          <t>供应商</t>
        </is>
      </c>
      <c r="B3" s="3" t="inlineStr">
        <is>
          <t>10003173 常州臻畅汽车配件有限公司</t>
        </is>
      </c>
      <c r="E3" s="2" t="inlineStr">
        <is>
          <t>收货地址</t>
        </is>
      </c>
      <c r="F3" s="3" t="inlineStr">
        <is>
          <t>安徽省芜湖市南陵县许镇镇工业集中区12号（凯华南陵厂）</t>
        </is>
      </c>
    </row>
    <row r="4">
      <c r="A4" s="2" t="inlineStr">
        <is>
          <t>计划交期</t>
        </is>
      </c>
      <c r="B4" s="3" t="inlineStr">
        <is>
          <t>2026-09-25</t>
        </is>
      </c>
      <c r="E4" s="2" t="inlineStr">
        <is>
          <t>付款条件</t>
        </is>
      </c>
      <c r="F4" s="3" t="inlineStr">
        <is>
          <t>票到90天收付款</t>
        </is>
      </c>
    </row>
    <row r="5">
      <c r="A5" s="2" t="inlineStr">
        <is>
          <t>制单人</t>
        </is>
      </c>
      <c r="B5" s="3" t="inlineStr">
        <is>
          <t>朱心蓝</t>
        </is>
      </c>
      <c r="E5" s="2" t="inlineStr">
        <is>
          <t>币种/税率</t>
        </is>
      </c>
      <c r="F5" s="3" t="inlineStr">
        <is>
          <t>元 / 13%</t>
        </is>
      </c>
    </row>
    <row r="7">
      <c r="A7" s="4" t="inlineStr">
        <is>
          <t>序号</t>
        </is>
      </c>
      <c r="B7" s="4" t="inlineStr">
        <is>
          <t>物料编码（全码18位）</t>
        </is>
      </c>
      <c r="C7" s="4" t="inlineStr">
        <is>
          <t>简写</t>
        </is>
      </c>
      <c r="D7" s="4" t="inlineStr">
        <is>
          <t>零件名</t>
        </is>
      </c>
      <c r="E7" s="4" t="inlineStr">
        <is>
          <t>数量</t>
        </is>
      </c>
      <c r="F7" s="4" t="inlineStr">
        <is>
          <t>含税单价</t>
        </is>
      </c>
      <c r="G7" s="4" t="inlineStr">
        <is>
          <t>含税总额</t>
        </is>
      </c>
      <c r="H7" s="4" t="inlineStr">
        <is>
          <t>税率</t>
        </is>
      </c>
      <c r="I7" s="4" t="inlineStr">
        <is>
          <t>计划交期</t>
        </is>
      </c>
      <c r="J7" s="4" t="inlineStr">
        <is>
          <t>备注</t>
        </is>
      </c>
    </row>
    <row r="8" ht="20" customHeight="1">
      <c r="A8" s="5" t="n">
        <v>10</v>
      </c>
      <c r="B8" s="6" t="inlineStr">
        <is>
          <t>510000000000012330</t>
        </is>
      </c>
      <c r="C8" s="6" t="inlineStr">
        <is>
          <t>51-12330</t>
        </is>
      </c>
      <c r="D8" s="7" t="inlineStr">
        <is>
          <t>S56_X3_吸音棉2</t>
        </is>
      </c>
      <c r="E8" s="8" t="n">
        <v>5000</v>
      </c>
      <c r="F8" s="9" t="n">
        <v>0</v>
      </c>
      <c r="G8" s="9" t="n">
        <v>0</v>
      </c>
      <c r="H8" s="5" t="n">
        <v>13</v>
      </c>
      <c r="I8" s="5" t="inlineStr">
        <is>
          <t>2026-09-25</t>
        </is>
      </c>
      <c r="J8" s="10" t="inlineStr"/>
    </row>
    <row r="9" ht="20" customHeight="1">
      <c r="A9" s="5" t="n">
        <v>20</v>
      </c>
      <c r="B9" s="6" t="inlineStr">
        <is>
          <t>510000000000013896</t>
        </is>
      </c>
      <c r="C9" s="6" t="inlineStr">
        <is>
          <t>51-13896</t>
        </is>
      </c>
      <c r="D9" s="7" t="inlineStr">
        <is>
          <t>S56_X3L_左C下吸音棉4</t>
        </is>
      </c>
      <c r="E9" s="8" t="n">
        <v>1850</v>
      </c>
      <c r="F9" s="9" t="n">
        <v>0</v>
      </c>
      <c r="G9" s="9" t="n">
        <v>0</v>
      </c>
      <c r="H9" s="5" t="n">
        <v>13</v>
      </c>
      <c r="I9" s="5" t="inlineStr">
        <is>
          <t>2026-09-25</t>
        </is>
      </c>
      <c r="J9" s="10" t="inlineStr"/>
    </row>
    <row r="10" ht="20" customHeight="1">
      <c r="A10" s="5" t="n">
        <v>30</v>
      </c>
      <c r="B10" s="6" t="inlineStr">
        <is>
          <t>510000000000013897</t>
        </is>
      </c>
      <c r="C10" s="6" t="inlineStr">
        <is>
          <t>51-13897</t>
        </is>
      </c>
      <c r="D10" s="7" t="inlineStr">
        <is>
          <t>S56_X3L_左C下吸音棉5</t>
        </is>
      </c>
      <c r="E10" s="8" t="n">
        <v>1000</v>
      </c>
      <c r="F10" s="9" t="n">
        <v>0</v>
      </c>
      <c r="G10" s="9" t="n">
        <v>0</v>
      </c>
      <c r="H10" s="5" t="n">
        <v>13</v>
      </c>
      <c r="I10" s="5" t="inlineStr">
        <is>
          <t>2026-09-25</t>
        </is>
      </c>
      <c r="J10" s="10" t="inlineStr"/>
    </row>
    <row r="11" ht="20" customHeight="1">
      <c r="A11" s="5" t="n">
        <v>40</v>
      </c>
      <c r="B11" s="6" t="inlineStr">
        <is>
          <t>510000000000013898</t>
        </is>
      </c>
      <c r="C11" s="6" t="inlineStr">
        <is>
          <t>51-13898</t>
        </is>
      </c>
      <c r="D11" s="7" t="inlineStr">
        <is>
          <t>S56_X3L_右C下吸音棉4</t>
        </is>
      </c>
      <c r="E11" s="8" t="n">
        <v>1500</v>
      </c>
      <c r="F11" s="9" t="n">
        <v>0</v>
      </c>
      <c r="G11" s="9" t="n">
        <v>0</v>
      </c>
      <c r="H11" s="5" t="n">
        <v>13</v>
      </c>
      <c r="I11" s="5" t="inlineStr">
        <is>
          <t>2026-09-25</t>
        </is>
      </c>
      <c r="J11" s="10" t="inlineStr"/>
    </row>
    <row r="12" ht="20" customHeight="1">
      <c r="A12" s="5" t="n">
        <v>50</v>
      </c>
      <c r="B12" s="6" t="inlineStr">
        <is>
          <t>510000000000013898</t>
        </is>
      </c>
      <c r="C12" s="6" t="inlineStr">
        <is>
          <t>51-13898</t>
        </is>
      </c>
      <c r="D12" s="7" t="inlineStr">
        <is>
          <t>S56_X3L_右C下吸音棉4</t>
        </is>
      </c>
      <c r="E12" s="8" t="n">
        <v>620</v>
      </c>
      <c r="F12" s="9" t="n">
        <v>0</v>
      </c>
      <c r="G12" s="9" t="n">
        <v>0</v>
      </c>
      <c r="H12" s="5" t="n">
        <v>13</v>
      </c>
      <c r="I12" s="5" t="inlineStr">
        <is>
          <t>2026-09-25</t>
        </is>
      </c>
      <c r="J12" s="10" t="inlineStr"/>
    </row>
    <row r="13" ht="20" customHeight="1">
      <c r="A13" s="5" t="n">
        <v>60</v>
      </c>
      <c r="B13" s="6" t="inlineStr">
        <is>
          <t>510000000000013899</t>
        </is>
      </c>
      <c r="C13" s="6" t="inlineStr">
        <is>
          <t>51-13899</t>
        </is>
      </c>
      <c r="D13" s="7" t="inlineStr">
        <is>
          <t>S56_X3L_右C下吸音棉5</t>
        </is>
      </c>
      <c r="E13" s="8" t="n">
        <v>1500</v>
      </c>
      <c r="F13" s="9" t="n">
        <v>0</v>
      </c>
      <c r="G13" s="9" t="n">
        <v>0</v>
      </c>
      <c r="H13" s="5" t="n">
        <v>13</v>
      </c>
      <c r="I13" s="5" t="inlineStr">
        <is>
          <t>2026-09-25</t>
        </is>
      </c>
      <c r="J13" s="10" t="inlineStr"/>
    </row>
    <row r="14" ht="20" customHeight="1">
      <c r="A14" s="5" t="n">
        <v>70</v>
      </c>
      <c r="B14" s="6" t="inlineStr">
        <is>
          <t>510000000000013899</t>
        </is>
      </c>
      <c r="C14" s="6" t="inlineStr">
        <is>
          <t>51-13899</t>
        </is>
      </c>
      <c r="D14" s="7" t="inlineStr">
        <is>
          <t>S56_X3L_右C下吸音棉5</t>
        </is>
      </c>
      <c r="E14" s="8" t="n">
        <v>570</v>
      </c>
      <c r="F14" s="9" t="n">
        <v>0</v>
      </c>
      <c r="G14" s="9" t="n">
        <v>0</v>
      </c>
      <c r="H14" s="5" t="n">
        <v>13</v>
      </c>
      <c r="I14" s="5" t="inlineStr">
        <is>
          <t>2026-09-25</t>
        </is>
      </c>
      <c r="J14" s="10" t="inlineStr"/>
    </row>
    <row r="15">
      <c r="A15" s="11" t="n"/>
      <c r="B15" s="11" t="n"/>
      <c r="C15" s="11" t="n"/>
      <c r="D15" s="12" t="inlineStr">
        <is>
          <t>合计</t>
        </is>
      </c>
      <c r="E15" s="12">
        <f>SUM(E8:E14)</f>
        <v/>
      </c>
      <c r="F15" s="11" t="n"/>
      <c r="G15" s="13">
        <f>SUM(G8:G14)</f>
        <v/>
      </c>
      <c r="H15" s="11" t="n"/>
      <c r="I15" s="11" t="n"/>
      <c r="J15" s="14" t="inlineStr">
        <is>
          <t>⚠️ 原单单价/金额全部为 0.00 → 未定价</t>
        </is>
      </c>
    </row>
  </sheetData>
  <mergeCells count="9">
    <mergeCell ref="A1:J1"/>
    <mergeCell ref="B3:D3"/>
    <mergeCell ref="F3:J3"/>
    <mergeCell ref="B5:D5"/>
    <mergeCell ref="B4:D4"/>
    <mergeCell ref="F5:J5"/>
    <mergeCell ref="B2:D2"/>
    <mergeCell ref="F4:J4"/>
    <mergeCell ref="F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11" customWidth="1" min="3" max="3"/>
    <col width="26" customWidth="1" min="4" max="4"/>
    <col width="11" customWidth="1" min="5" max="5"/>
    <col width="7" customWidth="1" min="6" max="6"/>
    <col width="14" customWidth="1" min="7" max="7"/>
    <col width="16" customWidth="1" min="8" max="8"/>
    <col width="9" customWidth="1" min="9" max="9"/>
    <col width="20" customWidth="1" min="10" max="10"/>
  </cols>
  <sheetData>
    <row r="1" ht="22" customHeight="1">
      <c r="A1" s="1" t="inlineStr">
        <is>
          <t>按料号合并（同一零件拆多行已合并）</t>
        </is>
      </c>
    </row>
    <row r="2">
      <c r="A2" s="15" t="inlineStr">
        <is>
          <t>⚠️ 13898 / 13899 各拆两行下单（1500+620 / 1500+570），送货与对账别漏第二行。</t>
        </is>
      </c>
    </row>
    <row r="4" ht="26" customHeight="1">
      <c r="A4" s="4" t="inlineStr">
        <is>
          <t>序号</t>
        </is>
      </c>
      <c r="B4" s="4" t="inlineStr">
        <is>
          <t>物料编码（全码18位）</t>
        </is>
      </c>
      <c r="C4" s="4" t="inlineStr">
        <is>
          <t>简写</t>
        </is>
      </c>
      <c r="D4" s="4" t="inlineStr">
        <is>
          <t>零件名</t>
        </is>
      </c>
      <c r="E4" s="4" t="inlineStr">
        <is>
          <t>本单数量</t>
        </is>
      </c>
      <c r="F4" s="4" t="inlineStr">
        <is>
          <t>行数</t>
        </is>
      </c>
      <c r="G4" s="4" t="inlineStr">
        <is>
          <t>含税单价(待定)</t>
        </is>
      </c>
      <c r="H4" s="4" t="inlineStr">
        <is>
          <t>含税金额(待定)</t>
        </is>
      </c>
      <c r="I4" s="4" t="inlineStr">
        <is>
          <t>占比</t>
        </is>
      </c>
      <c r="J4" s="4" t="inlineStr">
        <is>
          <t>备注</t>
        </is>
      </c>
    </row>
    <row r="5">
      <c r="A5" s="5" t="n">
        <v>1</v>
      </c>
      <c r="B5" s="6" t="inlineStr">
        <is>
          <t>510000000000012330</t>
        </is>
      </c>
      <c r="C5" s="6" t="inlineStr">
        <is>
          <t>51-12330</t>
        </is>
      </c>
      <c r="D5" s="10" t="inlineStr">
        <is>
          <t>S56_X3_吸音棉2</t>
        </is>
      </c>
      <c r="E5" s="8" t="n">
        <v>5000</v>
      </c>
      <c r="F5" s="5" t="n">
        <v>1</v>
      </c>
      <c r="G5" s="5" t="inlineStr"/>
      <c r="H5" s="5" t="inlineStr"/>
      <c r="I5" s="16" t="n">
        <v>0.4152823920265781</v>
      </c>
      <c r="J5" s="5" t="inlineStr"/>
    </row>
    <row r="6">
      <c r="A6" s="5" t="n">
        <v>2</v>
      </c>
      <c r="B6" s="6" t="inlineStr">
        <is>
          <t>510000000000013898</t>
        </is>
      </c>
      <c r="C6" s="6" t="inlineStr">
        <is>
          <t>51-13898</t>
        </is>
      </c>
      <c r="D6" s="10" t="inlineStr">
        <is>
          <t>S56_X3L_右C下吸音棉4</t>
        </is>
      </c>
      <c r="E6" s="8" t="n">
        <v>2120</v>
      </c>
      <c r="F6" s="5" t="n">
        <v>2</v>
      </c>
      <c r="G6" s="5" t="inlineStr"/>
      <c r="H6" s="5" t="inlineStr"/>
      <c r="I6" s="16" t="n">
        <v>0.1760797342192691</v>
      </c>
      <c r="J6" s="17" t="inlineStr">
        <is>
          <t>拆2行下单</t>
        </is>
      </c>
    </row>
    <row r="7">
      <c r="A7" s="5" t="n">
        <v>3</v>
      </c>
      <c r="B7" s="6" t="inlineStr">
        <is>
          <t>510000000000013899</t>
        </is>
      </c>
      <c r="C7" s="6" t="inlineStr">
        <is>
          <t>51-13899</t>
        </is>
      </c>
      <c r="D7" s="10" t="inlineStr">
        <is>
          <t>S56_X3L_右C下吸音棉5</t>
        </is>
      </c>
      <c r="E7" s="8" t="n">
        <v>2070</v>
      </c>
      <c r="F7" s="5" t="n">
        <v>2</v>
      </c>
      <c r="G7" s="5" t="inlineStr"/>
      <c r="H7" s="5" t="inlineStr"/>
      <c r="I7" s="16" t="n">
        <v>0.1719269102990033</v>
      </c>
      <c r="J7" s="17" t="inlineStr">
        <is>
          <t>拆2行下单</t>
        </is>
      </c>
    </row>
    <row r="8">
      <c r="A8" s="5" t="n">
        <v>4</v>
      </c>
      <c r="B8" s="6" t="inlineStr">
        <is>
          <t>510000000000013896</t>
        </is>
      </c>
      <c r="C8" s="6" t="inlineStr">
        <is>
          <t>51-13896</t>
        </is>
      </c>
      <c r="D8" s="10" t="inlineStr">
        <is>
          <t>S56_X3L_左C下吸音棉4</t>
        </is>
      </c>
      <c r="E8" s="8" t="n">
        <v>1850</v>
      </c>
      <c r="F8" s="5" t="n">
        <v>1</v>
      </c>
      <c r="G8" s="5" t="inlineStr"/>
      <c r="H8" s="5" t="inlineStr"/>
      <c r="I8" s="16" t="n">
        <v>0.1536544850498339</v>
      </c>
      <c r="J8" s="5" t="inlineStr"/>
    </row>
    <row r="9">
      <c r="A9" s="5" t="n">
        <v>5</v>
      </c>
      <c r="B9" s="6" t="inlineStr">
        <is>
          <t>510000000000013897</t>
        </is>
      </c>
      <c r="C9" s="6" t="inlineStr">
        <is>
          <t>51-13897</t>
        </is>
      </c>
      <c r="D9" s="10" t="inlineStr">
        <is>
          <t>S56_X3L_左C下吸音棉5</t>
        </is>
      </c>
      <c r="E9" s="8" t="n">
        <v>1000</v>
      </c>
      <c r="F9" s="5" t="n">
        <v>1</v>
      </c>
      <c r="G9" s="5" t="inlineStr"/>
      <c r="H9" s="5" t="inlineStr"/>
      <c r="I9" s="16" t="n">
        <v>0.08305647840531562</v>
      </c>
      <c r="J9" s="5" t="inlineStr"/>
    </row>
    <row r="10">
      <c r="A10" s="11" t="n"/>
      <c r="B10" s="11" t="n"/>
      <c r="C10" s="11" t="n"/>
      <c r="D10" s="12" t="inlineStr">
        <is>
          <t>合计</t>
        </is>
      </c>
      <c r="E10" s="12">
        <f>SUM(E5:E9)</f>
        <v/>
      </c>
      <c r="F10" s="12">
        <f>SUM(F5:F9)</f>
        <v/>
      </c>
      <c r="G10" s="11" t="n"/>
      <c r="H10" s="11" t="n"/>
      <c r="I10" s="11" t="n"/>
      <c r="J10" s="18" t="inlineStr">
        <is>
          <t>6 个零件 / 12,040 件 / 金额待定价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1" customWidth="1" min="3" max="3"/>
    <col width="24" customWidth="1" min="4" max="4"/>
    <col width="14" customWidth="1" min="5" max="5"/>
    <col width="12" customWidth="1" min="6" max="6"/>
  </cols>
  <sheetData>
    <row r="1" ht="22" customHeight="1">
      <c r="A1" s="1" t="inlineStr">
        <is>
          <t>芜湖 S56-X3L 件库（14件·官方名称）· 与 PO4500127228 对照</t>
        </is>
      </c>
    </row>
    <row r="2">
      <c r="A2" s="19" t="inlineStr">
        <is>
          <t>件号规则：51-XXXXX = 51 + 11个0 + XXXXX（18位全码）。本单只下了 5 件（绿色✓），其余 9 件待下/待询。</t>
        </is>
      </c>
    </row>
    <row r="4">
      <c r="A4" s="4" t="inlineStr">
        <is>
          <t>序号</t>
        </is>
      </c>
      <c r="B4" s="4" t="inlineStr">
        <is>
          <t>零件名</t>
        </is>
      </c>
      <c r="C4" s="4" t="inlineStr">
        <is>
          <t>简写</t>
        </is>
      </c>
      <c r="D4" s="4" t="inlineStr">
        <is>
          <t>全码（18位）</t>
        </is>
      </c>
      <c r="E4" s="4" t="inlineStr">
        <is>
          <t>本单是否下单</t>
        </is>
      </c>
      <c r="F4" s="4" t="inlineStr">
        <is>
          <t>本单数量</t>
        </is>
      </c>
    </row>
    <row r="5">
      <c r="A5" s="5" t="n">
        <v>1</v>
      </c>
      <c r="B5" s="7" t="inlineStr">
        <is>
          <t>S56_X3L_右C下吸音棉4</t>
        </is>
      </c>
      <c r="C5" s="6" t="inlineStr">
        <is>
          <t>51-13898</t>
        </is>
      </c>
      <c r="D5" s="6" t="inlineStr">
        <is>
          <t>510000000000013898</t>
        </is>
      </c>
      <c r="E5" s="20" t="inlineStr">
        <is>
          <t>✓ 已下</t>
        </is>
      </c>
      <c r="F5" s="5" t="n">
        <v>2120</v>
      </c>
    </row>
    <row r="6">
      <c r="A6" s="5" t="n">
        <v>2</v>
      </c>
      <c r="B6" s="10" t="inlineStr">
        <is>
          <t>S56_X3_C上吸音棉1</t>
        </is>
      </c>
      <c r="C6" s="6" t="inlineStr">
        <is>
          <t>51-12724</t>
        </is>
      </c>
      <c r="D6" s="6" t="inlineStr">
        <is>
          <t>510000000000012724</t>
        </is>
      </c>
      <c r="E6" s="5" t="inlineStr">
        <is>
          <t>—</t>
        </is>
      </c>
      <c r="F6" s="5" t="inlineStr"/>
    </row>
    <row r="7">
      <c r="A7" s="5" t="n">
        <v>3</v>
      </c>
      <c r="B7" s="10" t="inlineStr">
        <is>
          <t>S56_X3_C上吸音棉2</t>
        </is>
      </c>
      <c r="C7" s="6" t="inlineStr">
        <is>
          <t>51-12725</t>
        </is>
      </c>
      <c r="D7" s="6" t="inlineStr">
        <is>
          <t>510000000000012725</t>
        </is>
      </c>
      <c r="E7" s="5" t="inlineStr">
        <is>
          <t>—</t>
        </is>
      </c>
      <c r="F7" s="5" t="inlineStr"/>
    </row>
    <row r="8">
      <c r="A8" s="5" t="n">
        <v>4</v>
      </c>
      <c r="B8" s="10" t="inlineStr">
        <is>
          <t>S56_X3_左下吸音棉3</t>
        </is>
      </c>
      <c r="C8" s="6" t="inlineStr">
        <is>
          <t>51-12721</t>
        </is>
      </c>
      <c r="D8" s="6" t="inlineStr">
        <is>
          <t>510000000000012721</t>
        </is>
      </c>
      <c r="E8" s="5" t="inlineStr">
        <is>
          <t>—</t>
        </is>
      </c>
      <c r="F8" s="5" t="inlineStr"/>
    </row>
    <row r="9">
      <c r="A9" s="5" t="n">
        <v>5</v>
      </c>
      <c r="B9" s="7" t="inlineStr">
        <is>
          <t>S56_X3L_左C下吸音棉5</t>
        </is>
      </c>
      <c r="C9" s="6" t="inlineStr">
        <is>
          <t>51-13897</t>
        </is>
      </c>
      <c r="D9" s="6" t="inlineStr">
        <is>
          <t>510000000000013897</t>
        </is>
      </c>
      <c r="E9" s="20" t="inlineStr">
        <is>
          <t>✓ 已下</t>
        </is>
      </c>
      <c r="F9" s="5" t="n">
        <v>1000</v>
      </c>
    </row>
    <row r="10">
      <c r="A10" s="5" t="n">
        <v>6</v>
      </c>
      <c r="B10" s="7" t="inlineStr">
        <is>
          <t>S56_X3L_右C下吸音棉5</t>
        </is>
      </c>
      <c r="C10" s="6" t="inlineStr">
        <is>
          <t>51-13899</t>
        </is>
      </c>
      <c r="D10" s="6" t="inlineStr">
        <is>
          <t>510000000000013899</t>
        </is>
      </c>
      <c r="E10" s="20" t="inlineStr">
        <is>
          <t>✓ 已下</t>
        </is>
      </c>
      <c r="F10" s="5" t="n">
        <v>2070</v>
      </c>
    </row>
    <row r="11">
      <c r="A11" s="5" t="n">
        <v>7</v>
      </c>
      <c r="B11" s="10" t="inlineStr">
        <is>
          <t>S56_X3_B下吸音棉</t>
        </is>
      </c>
      <c r="C11" s="6" t="inlineStr">
        <is>
          <t>51-12723</t>
        </is>
      </c>
      <c r="D11" s="6" t="inlineStr">
        <is>
          <t>510000000000012723</t>
        </is>
      </c>
      <c r="E11" s="5" t="inlineStr">
        <is>
          <t>—</t>
        </is>
      </c>
      <c r="F11" s="5" t="inlineStr"/>
    </row>
    <row r="12">
      <c r="A12" s="5" t="n">
        <v>8</v>
      </c>
      <c r="B12" s="7" t="inlineStr">
        <is>
          <t>S56_X3L_左C下吸音棉4</t>
        </is>
      </c>
      <c r="C12" s="6" t="inlineStr">
        <is>
          <t>51-13896</t>
        </is>
      </c>
      <c r="D12" s="6" t="inlineStr">
        <is>
          <t>510000000000013896</t>
        </is>
      </c>
      <c r="E12" s="20" t="inlineStr">
        <is>
          <t>✓ 已下</t>
        </is>
      </c>
      <c r="F12" s="5" t="n">
        <v>1850</v>
      </c>
    </row>
    <row r="13">
      <c r="A13" s="5" t="n">
        <v>9</v>
      </c>
      <c r="B13" s="7" t="inlineStr">
        <is>
          <t>S56_X3_吸音棉2</t>
        </is>
      </c>
      <c r="C13" s="6" t="inlineStr">
        <is>
          <t>51-12330</t>
        </is>
      </c>
      <c r="D13" s="6" t="inlineStr">
        <is>
          <t>510000000000012330</t>
        </is>
      </c>
      <c r="E13" s="20" t="inlineStr">
        <is>
          <t>✓ 已下</t>
        </is>
      </c>
      <c r="F13" s="5" t="n">
        <v>5000</v>
      </c>
    </row>
    <row r="14">
      <c r="A14" s="5" t="n">
        <v>10</v>
      </c>
      <c r="B14" s="10" t="inlineStr">
        <is>
          <t>S56_X3_C下吸音棉1</t>
        </is>
      </c>
      <c r="C14" s="6" t="inlineStr">
        <is>
          <t>51-12719</t>
        </is>
      </c>
      <c r="D14" s="6" t="inlineStr">
        <is>
          <t>510000000000012719</t>
        </is>
      </c>
      <c r="E14" s="5" t="inlineStr">
        <is>
          <t>—</t>
        </is>
      </c>
      <c r="F14" s="5" t="inlineStr"/>
    </row>
    <row r="15">
      <c r="A15" s="5" t="n">
        <v>11</v>
      </c>
      <c r="B15" s="10" t="inlineStr">
        <is>
          <t>S56_X3_右下吸音棉2</t>
        </is>
      </c>
      <c r="C15" s="6" t="inlineStr">
        <is>
          <t>51-12727</t>
        </is>
      </c>
      <c r="D15" s="6" t="inlineStr">
        <is>
          <t>510000000000012727</t>
        </is>
      </c>
      <c r="E15" s="5" t="inlineStr">
        <is>
          <t>—</t>
        </is>
      </c>
      <c r="F15" s="5" t="inlineStr"/>
    </row>
    <row r="16">
      <c r="A16" s="5" t="n">
        <v>12</v>
      </c>
      <c r="B16" s="10" t="inlineStr">
        <is>
          <t>S56_X3_03T吸音棉1</t>
        </is>
      </c>
      <c r="C16" s="6" t="inlineStr">
        <is>
          <t>51-12328</t>
        </is>
      </c>
      <c r="D16" s="6" t="inlineStr">
        <is>
          <t>510000000000012328</t>
        </is>
      </c>
      <c r="E16" s="5" t="inlineStr">
        <is>
          <t>—</t>
        </is>
      </c>
      <c r="F16" s="5" t="inlineStr"/>
    </row>
    <row r="17">
      <c r="A17" s="5" t="n">
        <v>13</v>
      </c>
      <c r="B17" s="10" t="inlineStr">
        <is>
          <t>S56_X3_C上吸音棉3</t>
        </is>
      </c>
      <c r="C17" s="6" t="inlineStr">
        <is>
          <t>51-12726</t>
        </is>
      </c>
      <c r="D17" s="6" t="inlineStr">
        <is>
          <t>510000000000012726</t>
        </is>
      </c>
      <c r="E17" s="5" t="inlineStr">
        <is>
          <t>—</t>
        </is>
      </c>
      <c r="F17" s="5" t="inlineStr"/>
    </row>
    <row r="18">
      <c r="A18" s="5" t="n">
        <v>14</v>
      </c>
      <c r="B18" s="10" t="inlineStr">
        <is>
          <t>S56_X3_左下吸音棉2</t>
        </is>
      </c>
      <c r="C18" s="6" t="inlineStr">
        <is>
          <t>51-12720</t>
        </is>
      </c>
      <c r="D18" s="6" t="inlineStr">
        <is>
          <t>510000000000012720</t>
        </is>
      </c>
      <c r="E18" s="5" t="inlineStr">
        <is>
          <t>—</t>
        </is>
      </c>
      <c r="F18" s="5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40" customWidth="1" min="3" max="3"/>
    <col width="46" customWidth="1" min="4" max="4"/>
    <col width="12" customWidth="1" min="5" max="5"/>
  </cols>
  <sheetData>
    <row r="1" ht="22" customHeight="1">
      <c r="A1" s="1" t="inlineStr">
        <is>
          <t>风险点 + 行动清单（可勾状态）</t>
        </is>
      </c>
    </row>
    <row r="3">
      <c r="A3" s="4" t="inlineStr">
        <is>
          <t>类别</t>
        </is>
      </c>
      <c r="B3" s="4" t="inlineStr">
        <is>
          <t>发现 / 风险</t>
        </is>
      </c>
      <c r="C3" s="4" t="inlineStr">
        <is>
          <t>影响</t>
        </is>
      </c>
      <c r="D3" s="4" t="inlineStr">
        <is>
          <t>建议动作</t>
        </is>
      </c>
      <c r="E3" s="4" t="inlineStr">
        <is>
          <t>状态</t>
        </is>
      </c>
    </row>
    <row r="4" ht="46" customHeight="1">
      <c r="A4" s="7" t="inlineStr">
        <is>
          <t>🔴 价格</t>
        </is>
      </c>
      <c r="B4" s="10" t="inlineStr">
        <is>
          <t>原单 含税单价/总额 全部为 0.00 → 先给量后定价</t>
        </is>
      </c>
      <c r="C4" s="10" t="inlineStr">
        <is>
          <t>无法计算收入/毛利；回签后价格谈不拢则量的承诺已进系统</t>
        </is>
      </c>
      <c r="D4" s="10" t="inlineStr">
        <is>
          <t>先内部定价（这5件历史无任何报价记录）再回签；或回签同时书面确认定价节点</t>
        </is>
      </c>
      <c r="E4" s="21" t="inlineStr">
        <is>
          <t>未开始</t>
        </is>
      </c>
    </row>
    <row r="5" ht="46" customHeight="1">
      <c r="A5" s="7" t="inlineStr">
        <is>
          <t>🔴 时限</t>
        </is>
      </c>
      <c r="B5" s="10" t="inlineStr">
        <is>
          <t>订单要求「3 小时内盖章回传」；交期 2026-09-25（仅11天）</t>
        </is>
      </c>
      <c r="C5" s="10" t="inlineStr">
        <is>
          <t>逾期未回签＝订单不确定；11天到芜湖南陵，排产+运输窗口极紧</t>
        </is>
      </c>
      <c r="D5" s="10" t="inlineStr">
        <is>
          <t>今天回签；同时确认自制/外协与到货节点（凯华件可走互盛/新久玥）</t>
        </is>
      </c>
      <c r="E5" s="21" t="inlineStr">
        <is>
          <t>未开始</t>
        </is>
      </c>
    </row>
    <row r="6" ht="46" customHeight="1">
      <c r="A6" s="7" t="inlineStr">
        <is>
          <t>⚠️ 拆分行</t>
        </is>
      </c>
      <c r="B6" s="10" t="inlineStr">
        <is>
          <t>13898（1500+620）、13899（1500+570）各拆两行</t>
        </is>
      </c>
      <c r="C6" s="10" t="inlineStr">
        <is>
          <t>漏行会导致少送/少开票</t>
        </is>
      </c>
      <c r="D6" s="10" t="inlineStr">
        <is>
          <t>送货单、对账单按料号合并核对（合计 2,120 / 2,070）</t>
        </is>
      </c>
      <c r="E6" s="10" t="inlineStr">
        <is>
          <t>已识别</t>
        </is>
      </c>
    </row>
    <row r="7" ht="46" customHeight="1">
      <c r="A7" s="7" t="inlineStr">
        <is>
          <t>⚠️ 新抬头</t>
        </is>
      </c>
      <c r="B7" s="10" t="inlineStr">
        <is>
          <t>凯华汽车科技（安徽）有限公司（芜湖南陵）— 与浙江凯华 / 靖凯模塑 不同抬头</t>
        </is>
      </c>
      <c r="C7" s="10" t="inlineStr">
        <is>
          <t>对账开票抬头易混；集团口径需归并</t>
        </is>
      </c>
      <c r="D7" s="10" t="inlineStr">
        <is>
          <t>对账单归凯华集团，备注实际抬头；台账客户记「凯华（安徽）」</t>
        </is>
      </c>
      <c r="E7" s="10" t="inlineStr">
        <is>
          <t>待确认</t>
        </is>
      </c>
    </row>
    <row r="8" ht="46" customHeight="1">
      <c r="A8" s="7" t="inlineStr">
        <is>
          <t>⚠️ 新项目</t>
        </is>
      </c>
      <c r="B8" s="10" t="inlineStr">
        <is>
          <t>S56_X3 首单；主机厂/车型未确认（芜湖厂区疑配套奇瑞）</t>
        </is>
      </c>
      <c r="C8" s="10" t="inlineStr">
        <is>
          <t>项目看板无此项目，无法挂 BOM/进度</t>
        </is>
      </c>
      <c r="D8" s="10" t="inlineStr">
        <is>
          <t>补项目信息后建档（客户/主机厂/定点日期/年量/生命周期）</t>
        </is>
      </c>
      <c r="E8" s="10" t="inlineStr">
        <is>
          <t>待确认</t>
        </is>
      </c>
    </row>
    <row r="9" ht="46" customHeight="1">
      <c r="A9" s="7" t="inlineStr">
        <is>
          <t>ℹ️ 件库</t>
        </is>
      </c>
      <c r="B9" s="10" t="inlineStr">
        <is>
          <t>本单5件＝14件吸音棉件库中的 5 件，其余 9 件未下</t>
        </is>
      </c>
      <c r="C9" s="10" t="inlineStr">
        <is>
          <t>其余9件可能随后下单或需报价</t>
        </is>
      </c>
      <c r="D9" s="10" t="inlineStr">
        <is>
          <t>把 14 件一并做报价，避免逐单被动报价</t>
        </is>
      </c>
      <c r="E9" s="10" t="inlineStr">
        <is>
          <t>可开始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2026-09-15T05:20:40Z</dcterms:created>
  <dcterms:modified xmlns:dcterms="http://purl.org/dc/terms/" xmlns:xsi="http://www.w3.org/2001/XMLSchema-instance" xsi:type="dcterms:W3CDTF">2026-09-15T05:49:16Z</dcterms:modified>
</cp:coreProperties>
</file>